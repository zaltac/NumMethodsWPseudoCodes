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mysite\zaltac.github.io\NumMethodsWPseudoCodes\Chapter04\"/>
    </mc:Choice>
  </mc:AlternateContent>
  <bookViews>
    <workbookView xWindow="0" yWindow="0" windowWidth="18195" windowHeight="9750" activeTab="1"/>
  </bookViews>
  <sheets>
    <sheet name="bisection" sheetId="1" r:id="rId1"/>
    <sheet name="bisection w macros" sheetId="2" r:id="rId2"/>
  </sheets>
  <functionGroups builtInGroupCount="18"/>
  <definedNames>
    <definedName name="a" localSheetId="1">'bisection w macros'!$C$9</definedName>
    <definedName name="a">bisection!$C$9</definedName>
    <definedName name="b" localSheetId="1">'bisection w macros'!$D$9</definedName>
    <definedName name="b">bisection!$D$9</definedName>
    <definedName name="eps" localSheetId="1">'bisection w macros'!$C$5</definedName>
    <definedName name="eps">bisection!$C$5</definedName>
  </definedNames>
  <calcPr calcId="162913"/>
</workbook>
</file>

<file path=xl/calcChain.xml><?xml version="1.0" encoding="utf-8"?>
<calcChain xmlns="http://schemas.openxmlformats.org/spreadsheetml/2006/main">
  <c r="D9" i="1" l="1"/>
  <c r="C9" i="1"/>
  <c r="N37" i="2" l="1"/>
  <c r="J9" i="1"/>
  <c r="O37" i="2"/>
  <c r="N38" i="2" l="1"/>
  <c r="N39" i="2" s="1"/>
  <c r="N40" i="2" s="1"/>
  <c r="N41" i="2" s="1"/>
  <c r="N42" i="2" s="1"/>
  <c r="N43" i="2" s="1"/>
  <c r="N44" i="2" s="1"/>
  <c r="N45" i="2" s="1"/>
  <c r="N46" i="2" s="1"/>
  <c r="N47" i="2" s="1"/>
  <c r="O46" i="2"/>
  <c r="O39" i="2"/>
  <c r="O41" i="2"/>
  <c r="O38" i="2"/>
  <c r="O47" i="2"/>
  <c r="O44" i="2"/>
  <c r="O43" i="2"/>
  <c r="O45" i="2"/>
  <c r="O42" i="2"/>
  <c r="O40" i="2"/>
  <c r="N38" i="1" l="1"/>
  <c r="O38" i="1"/>
  <c r="N39" i="1" l="1"/>
  <c r="N37" i="1"/>
  <c r="G9" i="1"/>
  <c r="E9" i="1"/>
  <c r="O39" i="1"/>
  <c r="F9" i="1"/>
  <c r="O37" i="1"/>
  <c r="H9" i="1"/>
  <c r="N40" i="1" l="1"/>
  <c r="D10" i="1"/>
  <c r="C10" i="1"/>
  <c r="I9" i="1"/>
  <c r="E10" i="1"/>
  <c r="O40" i="1"/>
  <c r="F10" i="1"/>
  <c r="J10" i="1" l="1"/>
  <c r="N41" i="1"/>
  <c r="G10" i="1"/>
  <c r="H10" i="1"/>
  <c r="O41" i="1"/>
  <c r="I10" i="1" l="1"/>
  <c r="N42" i="1"/>
  <c r="D11" i="1"/>
  <c r="C11" i="1"/>
  <c r="E11" i="1"/>
  <c r="O42" i="1"/>
  <c r="J11" i="1" l="1"/>
  <c r="N43" i="1"/>
  <c r="G11" i="1"/>
  <c r="F11" i="1"/>
  <c r="O43" i="1"/>
  <c r="H11" i="1"/>
  <c r="I11" i="1" l="1"/>
  <c r="N44" i="1"/>
  <c r="D12" i="1"/>
  <c r="C12" i="1"/>
  <c r="O44" i="1"/>
  <c r="J12" i="1" l="1"/>
  <c r="N45" i="1"/>
  <c r="F12" i="1"/>
  <c r="O45" i="1"/>
  <c r="E12" i="1"/>
  <c r="N46" i="1" l="1"/>
  <c r="G12" i="1"/>
  <c r="H12" i="1"/>
  <c r="O46" i="1"/>
  <c r="I12" i="1" l="1"/>
  <c r="N47" i="1"/>
  <c r="D13" i="1"/>
  <c r="C13" i="1"/>
  <c r="E13" i="1"/>
  <c r="O47" i="1"/>
  <c r="F13" i="1"/>
  <c r="J13" i="1" l="1"/>
  <c r="G13" i="1"/>
  <c r="H13" i="1"/>
  <c r="I13" i="1" l="1"/>
  <c r="D14" i="1"/>
  <c r="C14" i="1"/>
  <c r="E14" i="1"/>
  <c r="F14" i="1"/>
  <c r="J14" i="1" l="1"/>
  <c r="G14" i="1"/>
  <c r="H14" i="1"/>
  <c r="I14" i="1" l="1"/>
  <c r="D15" i="1"/>
  <c r="C15" i="1"/>
  <c r="F15" i="1"/>
  <c r="E15" i="1"/>
  <c r="J15" i="1" l="1"/>
  <c r="G15" i="1"/>
  <c r="H15" i="1"/>
  <c r="I15" i="1" l="1"/>
  <c r="C16" i="1"/>
  <c r="D16" i="1"/>
  <c r="F16" i="1"/>
  <c r="E16" i="1"/>
  <c r="J16" i="1" l="1"/>
  <c r="G16" i="1"/>
  <c r="H16" i="1"/>
  <c r="I16" i="1" l="1"/>
  <c r="D17" i="1"/>
  <c r="C17" i="1"/>
  <c r="F17" i="1"/>
  <c r="E17" i="1"/>
  <c r="J17" i="1" l="1"/>
  <c r="G17" i="1"/>
  <c r="H17" i="1"/>
  <c r="I17" i="1" l="1"/>
  <c r="C18" i="1"/>
  <c r="D18" i="1"/>
  <c r="E18" i="1"/>
  <c r="F18" i="1"/>
  <c r="J18" i="1" l="1"/>
  <c r="G18" i="1"/>
  <c r="H18" i="1"/>
  <c r="I18" i="1" l="1"/>
  <c r="D19" i="1"/>
  <c r="C19" i="1"/>
  <c r="J19" i="1" l="1"/>
  <c r="E19" i="1"/>
  <c r="F19" i="1"/>
  <c r="G19" i="1" l="1"/>
  <c r="H19" i="1"/>
  <c r="I19" i="1" l="1"/>
  <c r="D20" i="1"/>
  <c r="C20" i="1"/>
  <c r="J20" i="1" l="1"/>
  <c r="E20" i="1"/>
  <c r="F20" i="1"/>
  <c r="G20" i="1" l="1"/>
  <c r="H20" i="1"/>
  <c r="I20" i="1" l="1"/>
  <c r="D21" i="1"/>
  <c r="C21" i="1"/>
  <c r="J21" i="1" l="1"/>
  <c r="E21" i="1"/>
  <c r="F21" i="1"/>
  <c r="G21" i="1" l="1"/>
  <c r="H21" i="1"/>
  <c r="I21" i="1" l="1"/>
  <c r="D22" i="1"/>
  <c r="C22" i="1"/>
  <c r="E22" i="1"/>
  <c r="F22" i="1"/>
  <c r="J22" i="1" l="1"/>
  <c r="G22" i="1"/>
  <c r="H22" i="1"/>
  <c r="I22" i="1" l="1"/>
  <c r="C23" i="1"/>
  <c r="D23" i="1"/>
  <c r="J23" i="1" l="1"/>
  <c r="E23" i="1"/>
  <c r="F23" i="1"/>
  <c r="G23" i="1" l="1"/>
  <c r="H23" i="1"/>
  <c r="I23" i="1" l="1"/>
  <c r="C24" i="1"/>
  <c r="D24" i="1"/>
  <c r="E24" i="1"/>
  <c r="F24" i="1"/>
  <c r="J24" i="1" l="1"/>
  <c r="G24" i="1"/>
  <c r="H24" i="1"/>
  <c r="I24" i="1" l="1"/>
  <c r="C25" i="1"/>
  <c r="D25" i="1"/>
  <c r="J25" i="1" s="1"/>
  <c r="E25" i="1"/>
  <c r="F25" i="1"/>
  <c r="G25" i="1" l="1"/>
  <c r="H25" i="1"/>
  <c r="I25" i="1" l="1"/>
  <c r="C26" i="1"/>
  <c r="D26" i="1"/>
  <c r="E26" i="1"/>
  <c r="F26" i="1"/>
  <c r="J26" i="1" l="1"/>
  <c r="G26" i="1"/>
  <c r="H26" i="1"/>
  <c r="I26" i="1" l="1"/>
  <c r="D27" i="1"/>
  <c r="C27" i="1"/>
  <c r="E27" i="1"/>
  <c r="F27" i="1"/>
  <c r="J27" i="1" l="1"/>
  <c r="G27" i="1"/>
  <c r="H27" i="1"/>
  <c r="I27" i="1" l="1"/>
  <c r="C28" i="1"/>
  <c r="D28" i="1"/>
  <c r="J28" i="1" s="1"/>
  <c r="E28" i="1"/>
  <c r="F28" i="1"/>
  <c r="G28" i="1" l="1"/>
  <c r="H28" i="1"/>
  <c r="I28" i="1" l="1"/>
  <c r="D29" i="1"/>
  <c r="C29" i="1"/>
  <c r="E29" i="1"/>
  <c r="J29" i="1" l="1"/>
  <c r="F29" i="1"/>
  <c r="G29" i="1" l="1"/>
  <c r="H29" i="1"/>
  <c r="I29" i="1" l="1"/>
  <c r="D30" i="1"/>
  <c r="C30" i="1"/>
  <c r="F30" i="1"/>
  <c r="E30" i="1"/>
  <c r="J30" i="1" l="1"/>
  <c r="G30" i="1"/>
  <c r="H30" i="1"/>
  <c r="I30" i="1" l="1"/>
  <c r="C31" i="1"/>
  <c r="D31" i="1"/>
  <c r="E31" i="1"/>
  <c r="F31" i="1"/>
  <c r="J31" i="1" l="1"/>
  <c r="G31" i="1"/>
  <c r="H31" i="1"/>
  <c r="I31" i="1" l="1"/>
  <c r="C32" i="1"/>
  <c r="D32" i="1"/>
  <c r="E32" i="1"/>
  <c r="F32" i="1"/>
  <c r="J32" i="1" l="1"/>
  <c r="G32" i="1"/>
  <c r="H32" i="1"/>
  <c r="I32" i="1" l="1"/>
</calcChain>
</file>

<file path=xl/sharedStrings.xml><?xml version="1.0" encoding="utf-8"?>
<sst xmlns="http://schemas.openxmlformats.org/spreadsheetml/2006/main" count="146" uniqueCount="19">
  <si>
    <t>x</t>
  </si>
  <si>
    <t xml:space="preserve"> </t>
  </si>
  <si>
    <t>BISECTION METHOD</t>
  </si>
  <si>
    <t>eps=</t>
  </si>
  <si>
    <r>
      <rPr>
        <b/>
        <i/>
        <sz val="12"/>
        <rFont val="Times New Roman"/>
        <family val="1"/>
      </rPr>
      <t>f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x</t>
    </r>
    <r>
      <rPr>
        <b/>
        <sz val="12"/>
        <rFont val="Times New Roman"/>
        <family val="1"/>
      </rPr>
      <t>)</t>
    </r>
  </si>
  <si>
    <t>a=</t>
  </si>
  <si>
    <t>b=</t>
  </si>
  <si>
    <t>BISECTION METHOD USING VBA MACRO</t>
  </si>
  <si>
    <r>
      <t xml:space="preserve">To change the nonlinear equation, press </t>
    </r>
    <r>
      <rPr>
        <b/>
        <sz val="13"/>
        <color theme="1"/>
        <rFont val="Times New Roman"/>
        <family val="1"/>
      </rPr>
      <t>ALT + F</t>
    </r>
    <r>
      <rPr>
        <sz val="13"/>
        <color theme="1"/>
        <rFont val="Times New Roman"/>
        <family val="1"/>
      </rPr>
      <t>11</t>
    </r>
  </si>
  <si>
    <r>
      <rPr>
        <b/>
        <i/>
        <sz val="13"/>
        <color theme="1"/>
        <rFont val="Times New Roman"/>
        <family val="1"/>
      </rPr>
      <t>f</t>
    </r>
    <r>
      <rPr>
        <b/>
        <sz val="13"/>
        <color theme="1"/>
        <rFont val="Times New Roman"/>
        <family val="1"/>
      </rPr>
      <t>(</t>
    </r>
    <r>
      <rPr>
        <b/>
        <i/>
        <sz val="13"/>
        <color theme="1"/>
        <rFont val="Times New Roman"/>
        <family val="1"/>
      </rPr>
      <t>x</t>
    </r>
    <r>
      <rPr>
        <b/>
        <sz val="13"/>
        <color theme="1"/>
        <rFont val="Times New Roman"/>
        <family val="1"/>
      </rPr>
      <t xml:space="preserve">) </t>
    </r>
    <r>
      <rPr>
        <sz val="13"/>
        <color theme="1"/>
        <rFont val="Times New Roman"/>
        <family val="1"/>
      </rPr>
      <t xml:space="preserve">is defined as </t>
    </r>
    <r>
      <rPr>
        <b/>
        <sz val="13"/>
        <color theme="1"/>
        <rFont val="Times New Roman"/>
        <family val="1"/>
      </rPr>
      <t>FUNC(</t>
    </r>
    <r>
      <rPr>
        <b/>
        <i/>
        <sz val="13"/>
        <color theme="1"/>
        <rFont val="Times New Roman"/>
        <family val="1"/>
      </rPr>
      <t>x</t>
    </r>
    <r>
      <rPr>
        <b/>
        <sz val="13"/>
        <color theme="1"/>
        <rFont val="Times New Roman"/>
        <family val="1"/>
      </rPr>
      <t xml:space="preserve">) </t>
    </r>
  </si>
  <si>
    <t>p</t>
  </si>
  <si>
    <r>
      <t>a</t>
    </r>
    <r>
      <rPr>
        <b/>
        <vertAlign val="superscript"/>
        <sz val="12"/>
        <rFont val="Times New Roman"/>
        <family val="1"/>
      </rPr>
      <t>(</t>
    </r>
    <r>
      <rPr>
        <b/>
        <i/>
        <vertAlign val="super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)</t>
    </r>
  </si>
  <si>
    <r>
      <t>b</t>
    </r>
    <r>
      <rPr>
        <b/>
        <vertAlign val="superscript"/>
        <sz val="12"/>
        <rFont val="Times New Roman"/>
        <family val="1"/>
      </rPr>
      <t>(</t>
    </r>
    <r>
      <rPr>
        <b/>
        <i/>
        <vertAlign val="super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)</t>
    </r>
  </si>
  <si>
    <r>
      <t>f (a</t>
    </r>
    <r>
      <rPr>
        <b/>
        <vertAlign val="superscript"/>
        <sz val="12"/>
        <rFont val="Times New Roman"/>
        <family val="1"/>
      </rPr>
      <t>(</t>
    </r>
    <r>
      <rPr>
        <b/>
        <i/>
        <vertAlign val="super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)</t>
    </r>
    <r>
      <rPr>
        <b/>
        <sz val="12"/>
        <rFont val="Times New Roman"/>
        <family val="1"/>
      </rPr>
      <t>)</t>
    </r>
  </si>
  <si>
    <r>
      <t>f (b</t>
    </r>
    <r>
      <rPr>
        <b/>
        <vertAlign val="superscript"/>
        <sz val="12"/>
        <rFont val="Times New Roman"/>
        <family val="1"/>
      </rPr>
      <t>(</t>
    </r>
    <r>
      <rPr>
        <b/>
        <i/>
        <vertAlign val="super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)</t>
    </r>
    <r>
      <rPr>
        <b/>
        <sz val="12"/>
        <rFont val="Times New Roman"/>
        <family val="1"/>
      </rPr>
      <t>)</t>
    </r>
  </si>
  <si>
    <r>
      <t>x</t>
    </r>
    <r>
      <rPr>
        <b/>
        <vertAlign val="superscript"/>
        <sz val="12"/>
        <rFont val="Times New Roman"/>
        <family val="1"/>
      </rPr>
      <t>(</t>
    </r>
    <r>
      <rPr>
        <b/>
        <i/>
        <vertAlign val="super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)</t>
    </r>
  </si>
  <si>
    <r>
      <t>f (x</t>
    </r>
    <r>
      <rPr>
        <b/>
        <vertAlign val="superscript"/>
        <sz val="12"/>
        <rFont val="Times New Roman"/>
        <family val="1"/>
      </rPr>
      <t>(</t>
    </r>
    <r>
      <rPr>
        <b/>
        <i/>
        <vertAlign val="super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)</t>
    </r>
    <r>
      <rPr>
        <b/>
        <sz val="12"/>
        <rFont val="Times New Roman"/>
        <family val="1"/>
      </rPr>
      <t>)</t>
    </r>
  </si>
  <si>
    <r>
      <t>b</t>
    </r>
    <r>
      <rPr>
        <b/>
        <vertAlign val="superscript"/>
        <sz val="12"/>
        <rFont val="Times New Roman"/>
        <family val="1"/>
      </rPr>
      <t>(</t>
    </r>
    <r>
      <rPr>
        <b/>
        <i/>
        <vertAlign val="super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)</t>
    </r>
    <r>
      <rPr>
        <b/>
        <sz val="12"/>
        <rFont val="Symbol"/>
        <family val="1"/>
        <charset val="2"/>
      </rPr>
      <t>-</t>
    </r>
    <r>
      <rPr>
        <b/>
        <i/>
        <sz val="12"/>
        <rFont val="Times New Roman"/>
        <family val="1"/>
      </rPr>
      <t>a</t>
    </r>
    <r>
      <rPr>
        <b/>
        <vertAlign val="superscript"/>
        <sz val="12"/>
        <rFont val="Times New Roman"/>
        <family val="1"/>
      </rPr>
      <t>(</t>
    </r>
    <r>
      <rPr>
        <b/>
        <i/>
        <vertAlign val="super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)</t>
    </r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</si>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</sst>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"/>
    <numFmt numFmtId="165" formatCode="0.000000"/>
    <numFmt numFmtId="166" formatCode="0.0000"/>
    <numFmt numFmtId="167" formatCode="0.0000000"/>
    <numFmt numFmtId="168" formatCode="0.00000E+00"/>
    <numFmt numFmtId="169" formatCode="0.00000000000000000"/>
  </numFmts>
  <fonts count="13" x14ac:knownFonts="1">
    <font>
      <sz val="10"/>
      <name val="Arial"/>
    </font>
    <font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sz val="14"/>
      <name val="Times New Roman"/>
      <family val="1"/>
    </font>
    <font>
      <i/>
      <sz val="12"/>
      <name val="Times New Roman"/>
      <family val="1"/>
      <charset val="162"/>
    </font>
    <font>
      <b/>
      <sz val="12"/>
      <color rgb="FF000000"/>
      <name val="Arial"/>
      <family val="2"/>
    </font>
    <font>
      <b/>
      <sz val="13"/>
      <color theme="1"/>
      <name val="Times New Roman"/>
      <family val="1"/>
    </font>
    <font>
      <b/>
      <i/>
      <sz val="13"/>
      <color theme="1"/>
      <name val="Times New Roman"/>
      <family val="1"/>
    </font>
    <font>
      <sz val="13"/>
      <color theme="1"/>
      <name val="Times New Roman"/>
      <family val="1"/>
    </font>
    <font>
      <b/>
      <i/>
      <vertAlign val="superscript"/>
      <sz val="12"/>
      <name val="Times New Roman"/>
      <family val="1"/>
    </font>
    <font>
      <b/>
      <vertAlign val="superscript"/>
      <sz val="12"/>
      <name val="Times New Roman"/>
      <family val="1"/>
    </font>
    <font>
      <b/>
      <sz val="12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 applyBorder="1"/>
    <xf numFmtId="0" fontId="3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7" fontId="1" fillId="0" borderId="0" xfId="0" applyNumberFormat="1" applyFont="1" applyBorder="1" applyAlignment="1">
      <alignment horizontal="center" vertical="center"/>
    </xf>
    <xf numFmtId="166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7" fontId="1" fillId="0" borderId="0" xfId="0" applyNumberFormat="1" applyFont="1"/>
    <xf numFmtId="0" fontId="1" fillId="0" borderId="0" xfId="0" applyFont="1" applyFill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165" fontId="1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/>
    <xf numFmtId="0" fontId="4" fillId="0" borderId="0" xfId="0" applyFont="1"/>
    <xf numFmtId="167" fontId="1" fillId="2" borderId="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right" vertical="center"/>
    </xf>
    <xf numFmtId="0" fontId="2" fillId="0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right"/>
    </xf>
    <xf numFmtId="11" fontId="1" fillId="2" borderId="0" xfId="0" applyNumberFormat="1" applyFont="1" applyFill="1" applyAlignment="1">
      <alignment horizontal="left"/>
    </xf>
    <xf numFmtId="169" fontId="7" fillId="0" borderId="0" xfId="0" applyNumberFormat="1" applyFont="1"/>
    <xf numFmtId="169" fontId="9" fillId="0" borderId="0" xfId="0" applyNumberFormat="1" applyFont="1"/>
    <xf numFmtId="0" fontId="1" fillId="2" borderId="0" xfId="0" applyFont="1" applyFill="1" applyAlignment="1">
      <alignment horizontal="left"/>
    </xf>
    <xf numFmtId="1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52D4"/>
      <color rgb="FFE5E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720" b="0" i="0" u="none" strike="noStrike" baseline="0">
                <a:solidFill>
                  <a:srgbClr val="000000"/>
                </a:solidFill>
                <a:latin typeface="Century Schoolbook"/>
                <a:ea typeface="Century Schoolbook"/>
                <a:cs typeface="Century Schoolbook"/>
              </a:defRPr>
            </a:pPr>
            <a:r>
              <a:rPr lang="en-US" sz="1500" b="1">
                <a:latin typeface="Times New Roman" panose="02020603050405020304" pitchFamily="18" charset="0"/>
                <a:cs typeface="Times New Roman" panose="02020603050405020304" pitchFamily="18" charset="0"/>
              </a:rPr>
              <a:t>Bisection Method Iteration History</a:t>
            </a:r>
          </a:p>
        </c:rich>
      </c:tx>
      <c:layout>
        <c:manualLayout>
          <c:xMode val="edge"/>
          <c:yMode val="edge"/>
          <c:x val="0.32938382702162222"/>
          <c:y val="5.35904165825425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405090185377189"/>
          <c:y val="0.19708064317803942"/>
          <c:w val="0.76582396815659637"/>
          <c:h val="0.624088703397124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bisection!$B$9:$B$32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bisection!$G$9:$G$32</c:f>
              <c:numCache>
                <c:formatCode>0.0000000</c:formatCode>
                <c:ptCount val="24"/>
                <c:pt idx="0">
                  <c:v>3</c:v>
                </c:pt>
                <c:pt idx="1">
                  <c:v>3.5</c:v>
                </c:pt>
                <c:pt idx="2">
                  <c:v>3.75</c:v>
                </c:pt>
                <c:pt idx="3">
                  <c:v>3.875</c:v>
                </c:pt>
                <c:pt idx="4">
                  <c:v>3.9375</c:v>
                </c:pt>
                <c:pt idx="5">
                  <c:v>3.90625</c:v>
                </c:pt>
                <c:pt idx="6">
                  <c:v>3.921875</c:v>
                </c:pt>
                <c:pt idx="7">
                  <c:v>3.9296875</c:v>
                </c:pt>
                <c:pt idx="8">
                  <c:v>3.92578125</c:v>
                </c:pt>
                <c:pt idx="9">
                  <c:v>3.927734375</c:v>
                </c:pt>
                <c:pt idx="10">
                  <c:v>3.9267578125</c:v>
                </c:pt>
                <c:pt idx="11">
                  <c:v>3.92626953125</c:v>
                </c:pt>
                <c:pt idx="12">
                  <c:v>3.926513671875</c:v>
                </c:pt>
                <c:pt idx="13">
                  <c:v>3.9266357421875</c:v>
                </c:pt>
                <c:pt idx="14">
                  <c:v>3.92657470703125</c:v>
                </c:pt>
                <c:pt idx="15">
                  <c:v>3.926605224609375</c:v>
                </c:pt>
                <c:pt idx="16">
                  <c:v>3.9265899658203125</c:v>
                </c:pt>
                <c:pt idx="17">
                  <c:v>3.9265975952148438</c:v>
                </c:pt>
                <c:pt idx="18">
                  <c:v>3.9266014099121094</c:v>
                </c:pt>
                <c:pt idx="19">
                  <c:v>3.9266033172607422</c:v>
                </c:pt>
                <c:pt idx="20">
                  <c:v>3.9266023635864258</c:v>
                </c:pt>
                <c:pt idx="21">
                  <c:v>3.9266018867492676</c:v>
                </c:pt>
                <c:pt idx="22">
                  <c:v>3.9266021251678467</c:v>
                </c:pt>
                <c:pt idx="23">
                  <c:v>3.9266022443771362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80-4AE5-AEFC-96371726B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83880"/>
        <c:axId val="164901128"/>
      </c:scatterChart>
      <c:valAx>
        <c:axId val="164883880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entury Schoolbook"/>
                    <a:ea typeface="Century Schoolbook"/>
                    <a:cs typeface="Century Schoolbook"/>
                  </a:defRPr>
                </a:pPr>
                <a:r>
                  <a:rPr lang="en-US"/>
                  <a:t>Iteration</a:t>
                </a:r>
              </a:p>
            </c:rich>
          </c:tx>
          <c:layout>
            <c:manualLayout>
              <c:xMode val="edge"/>
              <c:yMode val="edge"/>
              <c:x val="0.4443720891945202"/>
              <c:y val="0.911620717594997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Century Schoolbook"/>
                <a:cs typeface="Times New Roman" panose="02020603050405020304" pitchFamily="18" charset="0"/>
              </a:defRPr>
            </a:pPr>
            <a:endParaRPr lang="en-US"/>
          </a:p>
        </c:txPr>
        <c:crossAx val="164901128"/>
        <c:crosses val="autoZero"/>
        <c:crossBetween val="midCat"/>
      </c:valAx>
      <c:valAx>
        <c:axId val="164901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entury Schoolbook"/>
                    <a:ea typeface="Century Schoolbook"/>
                    <a:cs typeface="Century Schoolbook"/>
                  </a:defRPr>
                </a:pPr>
                <a:r>
                  <a:rPr lang="en-US"/>
                  <a:t>Estimate of Root</a:t>
                </a:r>
              </a:p>
            </c:rich>
          </c:tx>
          <c:layout>
            <c:manualLayout>
              <c:xMode val="edge"/>
              <c:yMode val="edge"/>
              <c:x val="5.050475188796346E-2"/>
              <c:y val="0.3206471947416829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Century Schoolbook"/>
                <a:cs typeface="Times New Roman" panose="02020603050405020304" pitchFamily="18" charset="0"/>
              </a:defRPr>
            </a:pPr>
            <a:endParaRPr lang="en-US"/>
          </a:p>
        </c:txPr>
        <c:crossAx val="164883880"/>
        <c:crosses val="autoZero"/>
        <c:crossBetween val="midCat"/>
      </c:valAx>
      <c:spPr>
        <a:solidFill>
          <a:srgbClr val="EFF5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Century Schoolbook"/>
          <a:ea typeface="Century Schoolbook"/>
          <a:cs typeface="Century Schoolbook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Plot of </a:t>
            </a:r>
            <a:r>
              <a:rPr lang="en-US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y</a:t>
            </a: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=</a:t>
            </a:r>
            <a:r>
              <a:rPr lang="en-US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f </a:t>
            </a: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(</a:t>
            </a:r>
            <a:r>
              <a:rPr lang="en-US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x</a:t>
            </a: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solidFill>
                <a:srgbClr val="0052D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52D4"/>
              </a:solidFill>
              <a:ln w="22225">
                <a:noFill/>
              </a:ln>
              <a:effectLst/>
            </c:spPr>
          </c:marker>
          <c:xVal>
            <c:numRef>
              <c:f>bisection!$N$37:$N$47</c:f>
              <c:numCache>
                <c:formatCode>General</c:formatCode>
                <c:ptCount val="11"/>
                <c:pt idx="0">
                  <c:v>2</c:v>
                </c:pt>
                <c:pt idx="1">
                  <c:v>2.2000000000000002</c:v>
                </c:pt>
                <c:pt idx="2">
                  <c:v>2.4000000000000004</c:v>
                </c:pt>
                <c:pt idx="3">
                  <c:v>2.6000000000000005</c:v>
                </c:pt>
                <c:pt idx="4">
                  <c:v>2.8000000000000007</c:v>
                </c:pt>
                <c:pt idx="5">
                  <c:v>3.0000000000000009</c:v>
                </c:pt>
                <c:pt idx="6">
                  <c:v>3.2000000000000011</c:v>
                </c:pt>
                <c:pt idx="7">
                  <c:v>3.4000000000000012</c:v>
                </c:pt>
                <c:pt idx="8">
                  <c:v>3.6000000000000014</c:v>
                </c:pt>
                <c:pt idx="9">
                  <c:v>3.8000000000000016</c:v>
                </c:pt>
                <c:pt idx="10">
                  <c:v>4.0000000000000018</c:v>
                </c:pt>
              </c:numCache>
            </c:numRef>
          </c:xVal>
          <c:yVal>
            <c:numRef>
              <c:f>bisection!$O$37:$O$47</c:f>
              <c:numCache>
                <c:formatCode>General</c:formatCode>
                <c:ptCount val="11"/>
                <c:pt idx="0">
                  <c:v>-3.1490674433373358</c:v>
                </c:pt>
                <c:pt idx="1">
                  <c:v>-2.3495661868002462</c:v>
                </c:pt>
                <c:pt idx="2">
                  <c:v>-1.89968914736709</c:v>
                </c:pt>
                <c:pt idx="3">
                  <c:v>-1.5906240152908573</c:v>
                </c:pt>
                <c:pt idx="4">
                  <c:v>-1.348161351852303</c:v>
                </c:pt>
                <c:pt idx="5">
                  <c:v>-1.1376012967610074</c:v>
                </c:pt>
                <c:pt idx="6">
                  <c:v>-0.93820854338007165</c:v>
                </c:pt>
                <c:pt idx="7">
                  <c:v>-0.73345802706685281</c:v>
                </c:pt>
                <c:pt idx="8">
                  <c:v>-0.50504121234742116</c:v>
                </c:pt>
                <c:pt idx="9">
                  <c:v>-0.2254435072827122</c:v>
                </c:pt>
                <c:pt idx="10">
                  <c:v>0.15849198261051467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DC-4F6F-B4BA-6FFC84BFF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00696"/>
        <c:axId val="164825624"/>
      </c:scatterChart>
      <c:valAx>
        <c:axId val="165100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64825624"/>
        <c:crosses val="autoZero"/>
        <c:crossBetween val="midCat"/>
      </c:valAx>
      <c:valAx>
        <c:axId val="16482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65100696"/>
        <c:crosses val="autoZero"/>
        <c:crossBetween val="midCat"/>
      </c:valAx>
      <c:spPr>
        <a:solidFill>
          <a:srgbClr val="E5E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720" b="0" i="0" u="none" strike="noStrike" baseline="0">
                <a:solidFill>
                  <a:srgbClr val="000000"/>
                </a:solidFill>
                <a:latin typeface="Century Schoolbook"/>
                <a:ea typeface="Century Schoolbook"/>
                <a:cs typeface="Century Schoolbook"/>
              </a:defRPr>
            </a:pPr>
            <a:r>
              <a:rPr lang="en-US" sz="1500" b="1">
                <a:latin typeface="Times New Roman" panose="02020603050405020304" pitchFamily="18" charset="0"/>
                <a:cs typeface="Times New Roman" panose="02020603050405020304" pitchFamily="18" charset="0"/>
              </a:rPr>
              <a:t>Bisection Method Iteration History</a:t>
            </a:r>
          </a:p>
        </c:rich>
      </c:tx>
      <c:layout>
        <c:manualLayout>
          <c:xMode val="edge"/>
          <c:yMode val="edge"/>
          <c:x val="0.32938382702162222"/>
          <c:y val="5.35904165825425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405090185377189"/>
          <c:y val="0.19708064317803942"/>
          <c:w val="0.76582396815659637"/>
          <c:h val="0.624088703397124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'bisection w macros'!$B$9:$B$32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xVal>
          <c:yVal>
            <c:numRef>
              <c:f>'bisection w macros'!$G$9:$G$32</c:f>
              <c:numCache>
                <c:formatCode>0.0000000</c:formatCode>
                <c:ptCount val="24"/>
                <c:pt idx="0">
                  <c:v>3</c:v>
                </c:pt>
                <c:pt idx="1">
                  <c:v>3.5</c:v>
                </c:pt>
                <c:pt idx="2">
                  <c:v>3.75</c:v>
                </c:pt>
                <c:pt idx="3">
                  <c:v>3.875</c:v>
                </c:pt>
                <c:pt idx="4">
                  <c:v>3.9375</c:v>
                </c:pt>
                <c:pt idx="5">
                  <c:v>3.90625</c:v>
                </c:pt>
                <c:pt idx="6">
                  <c:v>3.921875</c:v>
                </c:pt>
                <c:pt idx="7">
                  <c:v>3.9296875</c:v>
                </c:pt>
                <c:pt idx="8">
                  <c:v>3.92578125</c:v>
                </c:pt>
                <c:pt idx="9">
                  <c:v>3.927734375</c:v>
                </c:pt>
                <c:pt idx="10">
                  <c:v>3.9267578125</c:v>
                </c:pt>
                <c:pt idx="11">
                  <c:v>3.92626953125</c:v>
                </c:pt>
                <c:pt idx="12">
                  <c:v>3.926513671875</c:v>
                </c:pt>
                <c:pt idx="13">
                  <c:v>3.9266357421875</c:v>
                </c:pt>
                <c:pt idx="14">
                  <c:v>3.92657470703125</c:v>
                </c:pt>
                <c:pt idx="15">
                  <c:v>3.926605224609375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80-4AE5-AEFC-96371726B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26008"/>
        <c:axId val="164829888"/>
      </c:scatterChart>
      <c:valAx>
        <c:axId val="164826008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entury Schoolbook"/>
                    <a:ea typeface="Century Schoolbook"/>
                    <a:cs typeface="Century Schoolbook"/>
                  </a:defRPr>
                </a:pPr>
                <a:r>
                  <a:rPr lang="en-US"/>
                  <a:t>Iteration</a:t>
                </a:r>
              </a:p>
            </c:rich>
          </c:tx>
          <c:layout>
            <c:manualLayout>
              <c:xMode val="edge"/>
              <c:yMode val="edge"/>
              <c:x val="0.4443720891945202"/>
              <c:y val="0.911620717594997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Century Schoolbook"/>
                <a:cs typeface="Times New Roman" panose="02020603050405020304" pitchFamily="18" charset="0"/>
              </a:defRPr>
            </a:pPr>
            <a:endParaRPr lang="en-US"/>
          </a:p>
        </c:txPr>
        <c:crossAx val="164829888"/>
        <c:crosses val="autoZero"/>
        <c:crossBetween val="midCat"/>
      </c:valAx>
      <c:valAx>
        <c:axId val="164829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entury Schoolbook"/>
                    <a:ea typeface="Century Schoolbook"/>
                    <a:cs typeface="Century Schoolbook"/>
                  </a:defRPr>
                </a:pPr>
                <a:r>
                  <a:rPr lang="en-US"/>
                  <a:t>Estimate of Root</a:t>
                </a:r>
              </a:p>
            </c:rich>
          </c:tx>
          <c:layout>
            <c:manualLayout>
              <c:xMode val="edge"/>
              <c:yMode val="edge"/>
              <c:x val="5.050475188796346E-2"/>
              <c:y val="0.3206471947416829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Century Schoolbook"/>
                <a:cs typeface="Times New Roman" panose="02020603050405020304" pitchFamily="18" charset="0"/>
              </a:defRPr>
            </a:pPr>
            <a:endParaRPr lang="en-US"/>
          </a:p>
        </c:txPr>
        <c:crossAx val="164826008"/>
        <c:crosses val="autoZero"/>
        <c:crossBetween val="midCat"/>
      </c:valAx>
      <c:spPr>
        <a:solidFill>
          <a:srgbClr val="EFF5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Century Schoolbook"/>
          <a:ea typeface="Century Schoolbook"/>
          <a:cs typeface="Century Schoolbook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Plot of </a:t>
            </a:r>
            <a:r>
              <a:rPr lang="en-US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y</a:t>
            </a: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=</a:t>
            </a:r>
            <a:r>
              <a:rPr lang="en-US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f </a:t>
            </a: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(</a:t>
            </a:r>
            <a:r>
              <a:rPr lang="en-US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x</a:t>
            </a: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solidFill>
                <a:srgbClr val="0052D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52D4"/>
              </a:solidFill>
              <a:ln w="22225">
                <a:noFill/>
              </a:ln>
              <a:effectLst/>
            </c:spPr>
          </c:marker>
          <c:xVal>
            <c:numRef>
              <c:f>'bisection w macros'!$N$37:$N$47</c:f>
              <c:numCache>
                <c:formatCode>General</c:formatCode>
                <c:ptCount val="11"/>
                <c:pt idx="0">
                  <c:v>2</c:v>
                </c:pt>
                <c:pt idx="1">
                  <c:v>2.2000000000000002</c:v>
                </c:pt>
                <c:pt idx="2">
                  <c:v>2.4000000000000004</c:v>
                </c:pt>
                <c:pt idx="3">
                  <c:v>2.6000000000000005</c:v>
                </c:pt>
                <c:pt idx="4">
                  <c:v>2.8000000000000007</c:v>
                </c:pt>
                <c:pt idx="5">
                  <c:v>3.0000000000000009</c:v>
                </c:pt>
                <c:pt idx="6">
                  <c:v>3.2000000000000011</c:v>
                </c:pt>
                <c:pt idx="7">
                  <c:v>3.4000000000000012</c:v>
                </c:pt>
                <c:pt idx="8">
                  <c:v>3.6000000000000014</c:v>
                </c:pt>
                <c:pt idx="9">
                  <c:v>3.8000000000000016</c:v>
                </c:pt>
                <c:pt idx="10">
                  <c:v>4.0000000000000018</c:v>
                </c:pt>
              </c:numCache>
            </c:numRef>
          </c:xVal>
          <c:yVal>
            <c:numRef>
              <c:f>'bisection w macros'!$O$37:$O$47</c:f>
              <c:numCache>
                <c:formatCode>General</c:formatCode>
                <c:ptCount val="11"/>
                <c:pt idx="0">
                  <c:v>-3.1490674433373358</c:v>
                </c:pt>
                <c:pt idx="1">
                  <c:v>-2.3495661868002462</c:v>
                </c:pt>
                <c:pt idx="2">
                  <c:v>-1.89968914736709</c:v>
                </c:pt>
                <c:pt idx="3">
                  <c:v>-1.5906240152908573</c:v>
                </c:pt>
                <c:pt idx="4">
                  <c:v>-1.348161351852303</c:v>
                </c:pt>
                <c:pt idx="5">
                  <c:v>-1.1376012967610074</c:v>
                </c:pt>
                <c:pt idx="6">
                  <c:v>-0.93820854338007165</c:v>
                </c:pt>
                <c:pt idx="7">
                  <c:v>-0.73345802706685281</c:v>
                </c:pt>
                <c:pt idx="8">
                  <c:v>-0.50504121234742116</c:v>
                </c:pt>
                <c:pt idx="9">
                  <c:v>-0.2254435072827122</c:v>
                </c:pt>
                <c:pt idx="10">
                  <c:v>0.15849198261051467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DC-4F6F-B4BA-6FFC84BFF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93416"/>
        <c:axId val="165067272"/>
      </c:scatterChart>
      <c:valAx>
        <c:axId val="16469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65067272"/>
        <c:crosses val="autoZero"/>
        <c:crossBetween val="midCat"/>
      </c:valAx>
      <c:valAx>
        <c:axId val="16506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64693416"/>
        <c:crosses val="autoZero"/>
        <c:crossBetween val="midCat"/>
      </c:valAx>
      <c:spPr>
        <a:solidFill>
          <a:srgbClr val="E5E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39</xdr:row>
      <xdr:rowOff>104775</xdr:rowOff>
    </xdr:from>
    <xdr:to>
      <xdr:col>9</xdr:col>
      <xdr:colOff>609600</xdr:colOff>
      <xdr:row>61</xdr:row>
      <xdr:rowOff>152400</xdr:rowOff>
    </xdr:to>
    <xdr:graphicFrame macro="">
      <xdr:nvGraphicFramePr>
        <xdr:cNvPr id="11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285750</xdr:colOff>
      <xdr:row>15</xdr:row>
      <xdr:rowOff>42861</xdr:rowOff>
    </xdr:from>
    <xdr:to>
      <xdr:col>20</xdr:col>
      <xdr:colOff>152400</xdr:colOff>
      <xdr:row>33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39</xdr:row>
      <xdr:rowOff>104775</xdr:rowOff>
    </xdr:from>
    <xdr:to>
      <xdr:col>9</xdr:col>
      <xdr:colOff>609600</xdr:colOff>
      <xdr:row>61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285750</xdr:colOff>
      <xdr:row>15</xdr:row>
      <xdr:rowOff>42861</xdr:rowOff>
    </xdr:from>
    <xdr:to>
      <xdr:col>20</xdr:col>
      <xdr:colOff>152400</xdr:colOff>
      <xdr:row>33</xdr:row>
      <xdr:rowOff>142874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0</xdr:rowOff>
        </xdr:from>
        <xdr:to>
          <xdr:col>6</xdr:col>
          <xdr:colOff>419100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</xdr:row>
          <xdr:rowOff>180975</xdr:rowOff>
        </xdr:from>
        <xdr:to>
          <xdr:col>7</xdr:col>
          <xdr:colOff>809625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161925</xdr:rowOff>
        </xdr:from>
        <xdr:to>
          <xdr:col>9</xdr:col>
          <xdr:colOff>361950</xdr:colOff>
          <xdr:row>3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S60"/>
  <sheetViews>
    <sheetView showGridLines="0" workbookViewId="0">
      <selection activeCell="D10" sqref="D10"/>
    </sheetView>
  </sheetViews>
  <sheetFormatPr defaultRowHeight="15.75" x14ac:dyDescent="0.25"/>
  <cols>
    <col min="1" max="1" width="4.140625" customWidth="1"/>
    <col min="2" max="2" width="11" style="1" customWidth="1"/>
    <col min="3" max="8" width="14.7109375" style="1" customWidth="1"/>
    <col min="9" max="9" width="15.7109375" style="1" customWidth="1"/>
    <col min="10" max="10" width="13.5703125" style="1" customWidth="1"/>
    <col min="11" max="13" width="9.28515625" style="1" bestFit="1" customWidth="1"/>
    <col min="14" max="15" width="10.7109375" style="1" bestFit="1" customWidth="1"/>
    <col min="16" max="16" width="9.28515625" style="1" bestFit="1" customWidth="1"/>
    <col min="17" max="17" width="10.7109375" style="1" bestFit="1" customWidth="1"/>
    <col min="18" max="19" width="9.140625" style="1"/>
  </cols>
  <sheetData>
    <row r="1" spans="2:10" ht="18.75" x14ac:dyDescent="0.3">
      <c r="B1" s="1" t="s">
        <v>1</v>
      </c>
      <c r="C1" s="14" t="s">
        <v>2</v>
      </c>
    </row>
    <row r="2" spans="2:10" ht="18.75" x14ac:dyDescent="0.3">
      <c r="C2" s="14"/>
    </row>
    <row r="3" spans="2:10" x14ac:dyDescent="0.25">
      <c r="B3" s="21" t="s">
        <v>5</v>
      </c>
      <c r="C3" s="27">
        <v>2</v>
      </c>
    </row>
    <row r="4" spans="2:10" x14ac:dyDescent="0.25">
      <c r="B4" s="21" t="s">
        <v>6</v>
      </c>
      <c r="C4" s="27">
        <v>4</v>
      </c>
    </row>
    <row r="5" spans="2:10" x14ac:dyDescent="0.25">
      <c r="B5" s="16" t="s">
        <v>3</v>
      </c>
      <c r="C5" s="26">
        <v>1.0000000000000001E-5</v>
      </c>
    </row>
    <row r="7" spans="2:10" x14ac:dyDescent="0.25">
      <c r="B7" s="2"/>
      <c r="C7" s="2" t="s">
        <v>1</v>
      </c>
      <c r="D7" s="2" t="s">
        <v>1</v>
      </c>
      <c r="E7" s="2" t="s">
        <v>1</v>
      </c>
      <c r="F7" s="2" t="s">
        <v>1</v>
      </c>
      <c r="G7" s="2"/>
      <c r="H7" s="2"/>
      <c r="I7" s="2"/>
      <c r="J7" s="20"/>
    </row>
    <row r="8" spans="2:10" ht="19.5" thickBot="1" x14ac:dyDescent="0.3">
      <c r="B8" s="3" t="s">
        <v>10</v>
      </c>
      <c r="C8" s="3" t="s">
        <v>11</v>
      </c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3" t="s">
        <v>18</v>
      </c>
      <c r="J8" s="3" t="s">
        <v>17</v>
      </c>
    </row>
    <row r="9" spans="2:10" x14ac:dyDescent="0.25">
      <c r="B9" s="4">
        <v>0</v>
      </c>
      <c r="C9" s="15">
        <f>C3</f>
        <v>2</v>
      </c>
      <c r="D9" s="15">
        <f>C4</f>
        <v>4</v>
      </c>
      <c r="E9" s="5">
        <f>func(a)</f>
        <v>-3.1490674433373358</v>
      </c>
      <c r="F9" s="5">
        <f>func(b)</f>
        <v>0.15849198261051045</v>
      </c>
      <c r="G9" s="5">
        <f>(C9+D9)/2</f>
        <v>3</v>
      </c>
      <c r="H9" s="19">
        <f>func(G9)</f>
        <v>-1.1376012967610083</v>
      </c>
      <c r="I9" s="6" t="str">
        <f t="shared" ref="I9" si="0">IF(AND((b-a)/2^B9&lt;eps,ABS(H9)&lt;eps),"Done","---")</f>
        <v>---</v>
      </c>
      <c r="J9" s="8">
        <f>(D9-C9)</f>
        <v>2</v>
      </c>
    </row>
    <row r="10" spans="2:10" x14ac:dyDescent="0.25">
      <c r="B10" s="4">
        <v>1</v>
      </c>
      <c r="C10" s="5">
        <f>IF(E9*H9&lt;0,C9,IF(E9*H9&gt;0,G9,G9))</f>
        <v>3</v>
      </c>
      <c r="D10" s="5">
        <f>IF(E9*H9&lt;0,G9,IF(E9*H9&gt;0,D9,G9))</f>
        <v>4</v>
      </c>
      <c r="E10" s="5">
        <f>func(C10)</f>
        <v>-1.1376012967610083</v>
      </c>
      <c r="F10" s="5">
        <f>func(D10)</f>
        <v>0.15849198261051045</v>
      </c>
      <c r="G10" s="5">
        <f t="shared" ref="G10" si="1">(C10+D10)/2</f>
        <v>3.5</v>
      </c>
      <c r="H10" s="19">
        <f>func(G10)</f>
        <v>-0.62359225745260405</v>
      </c>
      <c r="I10" s="6" t="str">
        <f t="shared" ref="I10:I32" si="2">IF(AND((b-a)/2^B10&lt;eps,ABS(H10)&lt;eps),"Converged","---")</f>
        <v>---</v>
      </c>
      <c r="J10" s="8">
        <f t="shared" ref="J10:J32" si="3">(D10-C10)/2</f>
        <v>0.5</v>
      </c>
    </row>
    <row r="11" spans="2:10" x14ac:dyDescent="0.25">
      <c r="B11" s="4">
        <v>2</v>
      </c>
      <c r="C11" s="5">
        <f>IF(E10*H10&lt;0,C10,IF(E10*H10&gt;0,G10,G10))</f>
        <v>3.5</v>
      </c>
      <c r="D11" s="5">
        <f>IF(E10*H10&lt;0,G10,IF(E10*H10&gt;0,D10,G10))</f>
        <v>4</v>
      </c>
      <c r="E11" s="5">
        <f t="shared" ref="E11:E32" si="4">func(C11)</f>
        <v>-0.62359225745260405</v>
      </c>
      <c r="F11" s="5">
        <f t="shared" ref="F11:F32" si="5">func(D11)</f>
        <v>0.15849198261051045</v>
      </c>
      <c r="G11" s="5">
        <f t="shared" ref="G11:G32" si="6">(C11+D11)/2</f>
        <v>3.75</v>
      </c>
      <c r="H11" s="19">
        <f t="shared" ref="H11:H32" si="7">func(G11)</f>
        <v>-0.30234359161469271</v>
      </c>
      <c r="I11" s="6" t="str">
        <f t="shared" si="2"/>
        <v>---</v>
      </c>
      <c r="J11" s="8">
        <f t="shared" si="3"/>
        <v>0.25</v>
      </c>
    </row>
    <row r="12" spans="2:10" x14ac:dyDescent="0.25">
      <c r="B12" s="4">
        <v>3</v>
      </c>
      <c r="C12" s="5">
        <f t="shared" ref="C12:C32" si="8">IF(E11*H11&lt;0,C11,IF(E11*H11&gt;0,G11,G11))</f>
        <v>3.75</v>
      </c>
      <c r="D12" s="5">
        <f t="shared" ref="D12:D32" si="9">IF(E11*H11&lt;0,G11,IF(E11*H11&gt;0,D11,G11))</f>
        <v>4</v>
      </c>
      <c r="E12" s="5">
        <f t="shared" si="4"/>
        <v>-0.30234359161469271</v>
      </c>
      <c r="F12" s="5">
        <f t="shared" si="5"/>
        <v>0.15849198261051045</v>
      </c>
      <c r="G12" s="5">
        <f t="shared" si="6"/>
        <v>3.875</v>
      </c>
      <c r="H12" s="19">
        <f t="shared" si="7"/>
        <v>-9.8066351260501783E-2</v>
      </c>
      <c r="I12" s="6" t="str">
        <f t="shared" si="2"/>
        <v>---</v>
      </c>
      <c r="J12" s="8">
        <f t="shared" si="3"/>
        <v>0.125</v>
      </c>
    </row>
    <row r="13" spans="2:10" x14ac:dyDescent="0.25">
      <c r="B13" s="4">
        <v>4</v>
      </c>
      <c r="C13" s="5">
        <f t="shared" si="8"/>
        <v>3.875</v>
      </c>
      <c r="D13" s="5">
        <f t="shared" si="9"/>
        <v>4</v>
      </c>
      <c r="E13" s="5">
        <f t="shared" si="4"/>
        <v>-9.8066351260501783E-2</v>
      </c>
      <c r="F13" s="5">
        <f t="shared" si="5"/>
        <v>0.15849198261051045</v>
      </c>
      <c r="G13" s="5">
        <f t="shared" si="6"/>
        <v>3.9375</v>
      </c>
      <c r="H13" s="19">
        <f t="shared" si="7"/>
        <v>2.2002357229851357E-2</v>
      </c>
      <c r="I13" s="6" t="str">
        <f t="shared" si="2"/>
        <v>---</v>
      </c>
      <c r="J13" s="8">
        <f t="shared" si="3"/>
        <v>6.25E-2</v>
      </c>
    </row>
    <row r="14" spans="2:10" x14ac:dyDescent="0.25">
      <c r="B14" s="4">
        <v>5</v>
      </c>
      <c r="C14" s="5">
        <f t="shared" si="8"/>
        <v>3.875</v>
      </c>
      <c r="D14" s="5">
        <f t="shared" si="9"/>
        <v>3.9375</v>
      </c>
      <c r="E14" s="5">
        <f t="shared" si="4"/>
        <v>-9.8066351260501783E-2</v>
      </c>
      <c r="F14" s="5">
        <f t="shared" si="5"/>
        <v>2.2002357229851357E-2</v>
      </c>
      <c r="G14" s="5">
        <f t="shared" si="6"/>
        <v>3.90625</v>
      </c>
      <c r="H14" s="19">
        <f t="shared" si="7"/>
        <v>-3.9835499943778059E-2</v>
      </c>
      <c r="I14" s="6" t="str">
        <f t="shared" si="2"/>
        <v>---</v>
      </c>
      <c r="J14" s="8">
        <f t="shared" si="3"/>
        <v>3.125E-2</v>
      </c>
    </row>
    <row r="15" spans="2:10" x14ac:dyDescent="0.25">
      <c r="B15" s="4">
        <v>6</v>
      </c>
      <c r="C15" s="5">
        <f t="shared" si="8"/>
        <v>3.90625</v>
      </c>
      <c r="D15" s="5">
        <f t="shared" si="9"/>
        <v>3.9375</v>
      </c>
      <c r="E15" s="5">
        <f t="shared" si="4"/>
        <v>-3.9835499943778059E-2</v>
      </c>
      <c r="F15" s="5">
        <f t="shared" si="5"/>
        <v>2.2002357229851357E-2</v>
      </c>
      <c r="G15" s="5">
        <f t="shared" si="6"/>
        <v>3.921875</v>
      </c>
      <c r="H15" s="19">
        <f t="shared" si="7"/>
        <v>-9.3955619982121225E-3</v>
      </c>
      <c r="I15" s="6" t="str">
        <f t="shared" si="2"/>
        <v>---</v>
      </c>
      <c r="J15" s="8">
        <f t="shared" si="3"/>
        <v>1.5625E-2</v>
      </c>
    </row>
    <row r="16" spans="2:10" x14ac:dyDescent="0.25">
      <c r="B16" s="4">
        <v>7</v>
      </c>
      <c r="C16" s="5">
        <f t="shared" si="8"/>
        <v>3.921875</v>
      </c>
      <c r="D16" s="5">
        <f t="shared" si="9"/>
        <v>3.9375</v>
      </c>
      <c r="E16" s="5">
        <f t="shared" si="4"/>
        <v>-9.3955619982121225E-3</v>
      </c>
      <c r="F16" s="5">
        <f t="shared" si="5"/>
        <v>2.2002357229851357E-2</v>
      </c>
      <c r="G16" s="5">
        <f t="shared" si="6"/>
        <v>3.9296875</v>
      </c>
      <c r="H16" s="19">
        <f t="shared" si="7"/>
        <v>6.1798948769006129E-3</v>
      </c>
      <c r="I16" s="6" t="str">
        <f t="shared" si="2"/>
        <v>---</v>
      </c>
      <c r="J16" s="8">
        <f t="shared" si="3"/>
        <v>7.8125E-3</v>
      </c>
    </row>
    <row r="17" spans="2:10" x14ac:dyDescent="0.25">
      <c r="B17" s="4">
        <v>8</v>
      </c>
      <c r="C17" s="5">
        <f t="shared" si="8"/>
        <v>3.921875</v>
      </c>
      <c r="D17" s="5">
        <f t="shared" si="9"/>
        <v>3.9296875</v>
      </c>
      <c r="E17" s="5">
        <f t="shared" si="4"/>
        <v>-9.3955619982121225E-3</v>
      </c>
      <c r="F17" s="5">
        <f t="shared" si="5"/>
        <v>6.1798948769006129E-3</v>
      </c>
      <c r="G17" s="5">
        <f t="shared" si="6"/>
        <v>3.92578125</v>
      </c>
      <c r="H17" s="19">
        <f t="shared" si="7"/>
        <v>-1.6382284166533403E-3</v>
      </c>
      <c r="I17" s="6" t="str">
        <f t="shared" si="2"/>
        <v>---</v>
      </c>
      <c r="J17" s="8">
        <f t="shared" si="3"/>
        <v>3.90625E-3</v>
      </c>
    </row>
    <row r="18" spans="2:10" x14ac:dyDescent="0.25">
      <c r="B18" s="4">
        <v>9</v>
      </c>
      <c r="C18" s="5">
        <f t="shared" si="8"/>
        <v>3.92578125</v>
      </c>
      <c r="D18" s="5">
        <f t="shared" si="9"/>
        <v>3.9296875</v>
      </c>
      <c r="E18" s="5">
        <f t="shared" si="4"/>
        <v>-1.6382284166533403E-3</v>
      </c>
      <c r="F18" s="5">
        <f t="shared" si="5"/>
        <v>6.1798948769006129E-3</v>
      </c>
      <c r="G18" s="5">
        <f t="shared" si="6"/>
        <v>3.927734375</v>
      </c>
      <c r="H18" s="19">
        <f t="shared" si="7"/>
        <v>2.2631751474630349E-3</v>
      </c>
      <c r="I18" s="6" t="str">
        <f t="shared" si="2"/>
        <v>---</v>
      </c>
      <c r="J18" s="8">
        <f t="shared" si="3"/>
        <v>1.953125E-3</v>
      </c>
    </row>
    <row r="19" spans="2:10" x14ac:dyDescent="0.25">
      <c r="B19" s="4">
        <v>10</v>
      </c>
      <c r="C19" s="5">
        <f t="shared" si="8"/>
        <v>3.92578125</v>
      </c>
      <c r="D19" s="5">
        <f t="shared" si="9"/>
        <v>3.927734375</v>
      </c>
      <c r="E19" s="5">
        <f t="shared" si="4"/>
        <v>-1.6382284166533403E-3</v>
      </c>
      <c r="F19" s="5">
        <f t="shared" si="5"/>
        <v>2.2631751474630349E-3</v>
      </c>
      <c r="G19" s="5">
        <f t="shared" si="6"/>
        <v>3.9267578125</v>
      </c>
      <c r="H19" s="19">
        <f t="shared" si="7"/>
        <v>3.1056631112440198E-4</v>
      </c>
      <c r="I19" s="6" t="str">
        <f t="shared" si="2"/>
        <v>---</v>
      </c>
      <c r="J19" s="8">
        <f t="shared" si="3"/>
        <v>9.765625E-4</v>
      </c>
    </row>
    <row r="20" spans="2:10" x14ac:dyDescent="0.25">
      <c r="B20" s="4">
        <v>11</v>
      </c>
      <c r="C20" s="5">
        <f t="shared" si="8"/>
        <v>3.92578125</v>
      </c>
      <c r="D20" s="5">
        <f t="shared" si="9"/>
        <v>3.9267578125</v>
      </c>
      <c r="E20" s="5">
        <f t="shared" si="4"/>
        <v>-1.6382284166533403E-3</v>
      </c>
      <c r="F20" s="5">
        <f t="shared" si="5"/>
        <v>3.1056631112440198E-4</v>
      </c>
      <c r="G20" s="5">
        <f t="shared" si="6"/>
        <v>3.92626953125</v>
      </c>
      <c r="H20" s="19">
        <f t="shared" si="7"/>
        <v>-6.6430688702277915E-4</v>
      </c>
      <c r="I20" s="6" t="str">
        <f t="shared" si="2"/>
        <v>---</v>
      </c>
      <c r="J20" s="8">
        <f t="shared" si="3"/>
        <v>4.8828125E-4</v>
      </c>
    </row>
    <row r="21" spans="2:10" x14ac:dyDescent="0.25">
      <c r="B21" s="4">
        <v>12</v>
      </c>
      <c r="C21" s="5">
        <f t="shared" si="8"/>
        <v>3.92626953125</v>
      </c>
      <c r="D21" s="5">
        <f t="shared" si="9"/>
        <v>3.9267578125</v>
      </c>
      <c r="E21" s="5">
        <f t="shared" si="4"/>
        <v>-6.6430688702277915E-4</v>
      </c>
      <c r="F21" s="5">
        <f t="shared" si="5"/>
        <v>3.1056631112440198E-4</v>
      </c>
      <c r="G21" s="5">
        <f t="shared" si="6"/>
        <v>3.926513671875</v>
      </c>
      <c r="H21" s="19">
        <f t="shared" si="7"/>
        <v>-1.769893625005881E-4</v>
      </c>
      <c r="I21" s="6" t="str">
        <f t="shared" si="2"/>
        <v>---</v>
      </c>
      <c r="J21" s="8">
        <f t="shared" si="3"/>
        <v>2.44140625E-4</v>
      </c>
    </row>
    <row r="22" spans="2:10" x14ac:dyDescent="0.25">
      <c r="B22" s="4">
        <v>13</v>
      </c>
      <c r="C22" s="5">
        <f t="shared" si="8"/>
        <v>3.926513671875</v>
      </c>
      <c r="D22" s="5">
        <f t="shared" si="9"/>
        <v>3.9267578125</v>
      </c>
      <c r="E22" s="5">
        <f t="shared" si="4"/>
        <v>-1.769893625005881E-4</v>
      </c>
      <c r="F22" s="5">
        <f t="shared" si="5"/>
        <v>3.1056631112440198E-4</v>
      </c>
      <c r="G22" s="5">
        <f t="shared" si="6"/>
        <v>3.9266357421875</v>
      </c>
      <c r="H22" s="19">
        <f t="shared" si="7"/>
        <v>6.6758691160210865E-5</v>
      </c>
      <c r="I22" s="6" t="str">
        <f t="shared" si="2"/>
        <v>---</v>
      </c>
      <c r="J22" s="8">
        <f t="shared" si="3"/>
        <v>1.220703125E-4</v>
      </c>
    </row>
    <row r="23" spans="2:10" x14ac:dyDescent="0.25">
      <c r="B23" s="9">
        <v>14</v>
      </c>
      <c r="C23" s="5">
        <f t="shared" si="8"/>
        <v>3.926513671875</v>
      </c>
      <c r="D23" s="5">
        <f t="shared" si="9"/>
        <v>3.9266357421875</v>
      </c>
      <c r="E23" s="5">
        <f t="shared" si="4"/>
        <v>-1.769893625005881E-4</v>
      </c>
      <c r="F23" s="5">
        <f t="shared" si="5"/>
        <v>6.6758691160210865E-5</v>
      </c>
      <c r="G23" s="5">
        <f t="shared" si="6"/>
        <v>3.92657470703125</v>
      </c>
      <c r="H23" s="19">
        <f t="shared" si="7"/>
        <v>-5.5122779643088972E-5</v>
      </c>
      <c r="I23" s="6" t="str">
        <f t="shared" si="2"/>
        <v>---</v>
      </c>
      <c r="J23" s="8">
        <f t="shared" si="3"/>
        <v>6.103515625E-5</v>
      </c>
    </row>
    <row r="24" spans="2:10" x14ac:dyDescent="0.25">
      <c r="B24" s="4">
        <v>15</v>
      </c>
      <c r="C24" s="5">
        <f t="shared" si="8"/>
        <v>3.92657470703125</v>
      </c>
      <c r="D24" s="5">
        <f t="shared" si="9"/>
        <v>3.9266357421875</v>
      </c>
      <c r="E24" s="5">
        <f t="shared" si="4"/>
        <v>-5.5122779643088972E-5</v>
      </c>
      <c r="F24" s="5">
        <f t="shared" si="5"/>
        <v>6.6758691160210865E-5</v>
      </c>
      <c r="G24" s="5">
        <f t="shared" si="6"/>
        <v>3.926605224609375</v>
      </c>
      <c r="H24" s="19">
        <f t="shared" si="7"/>
        <v>5.8160945384109672E-6</v>
      </c>
      <c r="I24" s="6" t="str">
        <f t="shared" si="2"/>
        <v>---</v>
      </c>
      <c r="J24" s="8">
        <f t="shared" si="3"/>
        <v>3.0517578125E-5</v>
      </c>
    </row>
    <row r="25" spans="2:10" x14ac:dyDescent="0.25">
      <c r="B25" s="4">
        <v>16</v>
      </c>
      <c r="C25" s="5">
        <f t="shared" si="8"/>
        <v>3.92657470703125</v>
      </c>
      <c r="D25" s="5">
        <f t="shared" si="9"/>
        <v>3.926605224609375</v>
      </c>
      <c r="E25" s="5">
        <f t="shared" si="4"/>
        <v>-5.5122779643088972E-5</v>
      </c>
      <c r="F25" s="5">
        <f t="shared" si="5"/>
        <v>5.8160945384109672E-6</v>
      </c>
      <c r="G25" s="5">
        <f t="shared" si="6"/>
        <v>3.9265899658203125</v>
      </c>
      <c r="H25" s="19">
        <f t="shared" si="7"/>
        <v>-2.4653807828882478E-5</v>
      </c>
      <c r="I25" s="6" t="str">
        <f t="shared" si="2"/>
        <v>---</v>
      </c>
      <c r="J25" s="8">
        <f t="shared" si="3"/>
        <v>1.52587890625E-5</v>
      </c>
    </row>
    <row r="26" spans="2:10" x14ac:dyDescent="0.25">
      <c r="B26" s="4">
        <v>17</v>
      </c>
      <c r="C26" s="5">
        <f t="shared" si="8"/>
        <v>3.9265899658203125</v>
      </c>
      <c r="D26" s="5">
        <f t="shared" si="9"/>
        <v>3.926605224609375</v>
      </c>
      <c r="E26" s="5">
        <f t="shared" si="4"/>
        <v>-2.4653807828882478E-5</v>
      </c>
      <c r="F26" s="5">
        <f t="shared" si="5"/>
        <v>5.8160945384109672E-6</v>
      </c>
      <c r="G26" s="5">
        <f t="shared" si="6"/>
        <v>3.9265975952148438</v>
      </c>
      <c r="H26" s="19">
        <f t="shared" si="7"/>
        <v>-9.418972967853499E-6</v>
      </c>
      <c r="I26" s="6" t="str">
        <f t="shared" si="2"/>
        <v>---</v>
      </c>
      <c r="J26" s="8">
        <f t="shared" si="3"/>
        <v>7.62939453125E-6</v>
      </c>
    </row>
    <row r="27" spans="2:10" x14ac:dyDescent="0.25">
      <c r="B27" s="4">
        <v>18</v>
      </c>
      <c r="C27" s="5">
        <f t="shared" si="8"/>
        <v>3.9265975952148438</v>
      </c>
      <c r="D27" s="5">
        <f t="shared" si="9"/>
        <v>3.926605224609375</v>
      </c>
      <c r="E27" s="5">
        <f t="shared" si="4"/>
        <v>-9.418972967853499E-6</v>
      </c>
      <c r="F27" s="5">
        <f t="shared" si="5"/>
        <v>5.8160945384109672E-6</v>
      </c>
      <c r="G27" s="5">
        <f t="shared" si="6"/>
        <v>3.9266014099121094</v>
      </c>
      <c r="H27" s="19">
        <f t="shared" si="7"/>
        <v>-1.8014682958889428E-6</v>
      </c>
      <c r="I27" s="6" t="str">
        <f t="shared" si="2"/>
        <v>Converged</v>
      </c>
      <c r="J27" s="8">
        <f t="shared" si="3"/>
        <v>3.814697265625E-6</v>
      </c>
    </row>
    <row r="28" spans="2:10" x14ac:dyDescent="0.25">
      <c r="B28" s="4">
        <v>19</v>
      </c>
      <c r="C28" s="5">
        <f t="shared" si="8"/>
        <v>3.9266014099121094</v>
      </c>
      <c r="D28" s="5">
        <f t="shared" si="9"/>
        <v>3.926605224609375</v>
      </c>
      <c r="E28" s="5">
        <f t="shared" si="4"/>
        <v>-1.8014682958889428E-6</v>
      </c>
      <c r="F28" s="5">
        <f t="shared" si="5"/>
        <v>5.8160945384109672E-6</v>
      </c>
      <c r="G28" s="5">
        <f t="shared" si="6"/>
        <v>3.9266033172607422</v>
      </c>
      <c r="H28" s="19">
        <f t="shared" si="7"/>
        <v>2.0073058509274258E-6</v>
      </c>
      <c r="I28" s="6" t="str">
        <f t="shared" si="2"/>
        <v>Converged</v>
      </c>
      <c r="J28" s="8">
        <f t="shared" si="3"/>
        <v>1.9073486328125E-6</v>
      </c>
    </row>
    <row r="29" spans="2:10" x14ac:dyDescent="0.25">
      <c r="B29" s="4">
        <v>20</v>
      </c>
      <c r="C29" s="5">
        <f t="shared" si="8"/>
        <v>3.9266014099121094</v>
      </c>
      <c r="D29" s="5">
        <f t="shared" si="9"/>
        <v>3.9266033172607422</v>
      </c>
      <c r="E29" s="5">
        <f t="shared" si="4"/>
        <v>-1.8014682958889428E-6</v>
      </c>
      <c r="F29" s="5">
        <f t="shared" si="5"/>
        <v>2.0073058509274258E-6</v>
      </c>
      <c r="G29" s="5">
        <f t="shared" si="6"/>
        <v>3.9266023635864258</v>
      </c>
      <c r="H29" s="19">
        <f t="shared" si="7"/>
        <v>1.0291695994962781E-7</v>
      </c>
      <c r="I29" s="6" t="str">
        <f t="shared" si="2"/>
        <v>Converged</v>
      </c>
      <c r="J29" s="8">
        <f t="shared" si="3"/>
        <v>9.5367431640625E-7</v>
      </c>
    </row>
    <row r="30" spans="2:10" x14ac:dyDescent="0.25">
      <c r="B30" s="4">
        <v>21</v>
      </c>
      <c r="C30" s="5">
        <f t="shared" si="8"/>
        <v>3.9266014099121094</v>
      </c>
      <c r="D30" s="5">
        <f t="shared" si="9"/>
        <v>3.9266023635864258</v>
      </c>
      <c r="E30" s="5">
        <f t="shared" si="4"/>
        <v>-1.8014682958889428E-6</v>
      </c>
      <c r="F30" s="5">
        <f t="shared" si="5"/>
        <v>1.0291695994962781E-7</v>
      </c>
      <c r="G30" s="5">
        <f t="shared" si="6"/>
        <v>3.9266018867492676</v>
      </c>
      <c r="H30" s="19">
        <f t="shared" si="7"/>
        <v>-8.4927612234810858E-7</v>
      </c>
      <c r="I30" s="6" t="str">
        <f t="shared" si="2"/>
        <v>Converged</v>
      </c>
      <c r="J30" s="8">
        <f t="shared" si="3"/>
        <v>4.76837158203125E-7</v>
      </c>
    </row>
    <row r="31" spans="2:10" x14ac:dyDescent="0.25">
      <c r="B31" s="4">
        <v>22</v>
      </c>
      <c r="C31" s="5">
        <f t="shared" si="8"/>
        <v>3.9266018867492676</v>
      </c>
      <c r="D31" s="5">
        <f t="shared" si="9"/>
        <v>3.9266023635864258</v>
      </c>
      <c r="E31" s="5">
        <f t="shared" si="4"/>
        <v>-8.4927612234810858E-7</v>
      </c>
      <c r="F31" s="5">
        <f t="shared" si="5"/>
        <v>1.0291695994962781E-7</v>
      </c>
      <c r="G31" s="5">
        <f t="shared" si="6"/>
        <v>3.9266021251678467</v>
      </c>
      <c r="H31" s="19">
        <f t="shared" si="7"/>
        <v>-3.7317969480788003E-7</v>
      </c>
      <c r="I31" s="6" t="str">
        <f t="shared" si="2"/>
        <v>Converged</v>
      </c>
      <c r="J31" s="8">
        <f t="shared" si="3"/>
        <v>2.384185791015625E-7</v>
      </c>
    </row>
    <row r="32" spans="2:10" x14ac:dyDescent="0.25">
      <c r="B32" s="4">
        <v>23</v>
      </c>
      <c r="C32" s="5">
        <f t="shared" si="8"/>
        <v>3.9266021251678467</v>
      </c>
      <c r="D32" s="5">
        <f t="shared" si="9"/>
        <v>3.9266023635864258</v>
      </c>
      <c r="E32" s="5">
        <f t="shared" si="4"/>
        <v>-3.7317969480788003E-7</v>
      </c>
      <c r="F32" s="5">
        <f t="shared" si="5"/>
        <v>1.0291695994962781E-7</v>
      </c>
      <c r="G32" s="5">
        <f t="shared" si="6"/>
        <v>3.9266022443771362</v>
      </c>
      <c r="H32" s="19">
        <f t="shared" si="7"/>
        <v>-1.3513139592827468E-7</v>
      </c>
      <c r="I32" s="6" t="str">
        <f t="shared" si="2"/>
        <v>Converged</v>
      </c>
      <c r="J32" s="8">
        <f t="shared" si="3"/>
        <v>1.1920928955078125E-7</v>
      </c>
    </row>
    <row r="33" spans="2:17" x14ac:dyDescent="0.25">
      <c r="B33" s="4"/>
      <c r="C33" s="11"/>
      <c r="D33" s="11"/>
      <c r="E33" s="11"/>
      <c r="F33" s="11"/>
      <c r="G33" s="5"/>
      <c r="H33" s="5"/>
      <c r="I33" s="10"/>
      <c r="J33" s="7"/>
      <c r="K33" s="7"/>
      <c r="L33" s="7"/>
    </row>
    <row r="34" spans="2:17" x14ac:dyDescent="0.25">
      <c r="B34" s="4"/>
      <c r="C34" s="11"/>
      <c r="D34" s="11"/>
      <c r="E34" s="11"/>
      <c r="F34" s="11"/>
      <c r="G34" s="11"/>
      <c r="H34" s="11"/>
      <c r="I34" s="12"/>
      <c r="J34" s="7"/>
      <c r="K34" s="7"/>
      <c r="L34" s="7"/>
    </row>
    <row r="35" spans="2:17" x14ac:dyDescent="0.25">
      <c r="B35" s="4"/>
      <c r="C35" s="11"/>
      <c r="D35" s="11"/>
      <c r="E35" s="11"/>
      <c r="F35" s="11"/>
      <c r="G35" s="11"/>
      <c r="H35" s="12"/>
      <c r="I35" s="12"/>
      <c r="J35" s="7"/>
      <c r="K35" s="7"/>
      <c r="L35" s="7"/>
    </row>
    <row r="36" spans="2:17" ht="16.5" thickBot="1" x14ac:dyDescent="0.3">
      <c r="C36" s="11"/>
      <c r="D36" s="11"/>
      <c r="E36" s="11"/>
      <c r="N36" s="3" t="s">
        <v>0</v>
      </c>
      <c r="O36" s="17" t="s">
        <v>4</v>
      </c>
    </row>
    <row r="37" spans="2:17" x14ac:dyDescent="0.25">
      <c r="C37" s="11"/>
      <c r="D37" s="11"/>
      <c r="E37" s="11"/>
      <c r="N37" s="4">
        <f>a</f>
        <v>2</v>
      </c>
      <c r="O37" s="4">
        <f>func(N37)</f>
        <v>-3.1490674433373358</v>
      </c>
    </row>
    <row r="38" spans="2:17" x14ac:dyDescent="0.25">
      <c r="C38" s="11"/>
      <c r="D38" s="11"/>
      <c r="E38" s="11"/>
      <c r="N38" s="4">
        <f>a+(b-a)/10</f>
        <v>2.2000000000000002</v>
      </c>
      <c r="O38" s="4">
        <f>func(N38)</f>
        <v>-2.3495661868002462</v>
      </c>
    </row>
    <row r="39" spans="2:17" x14ac:dyDescent="0.25">
      <c r="N39" s="4">
        <f t="shared" ref="N39:N47" si="10">N38+(b-a)/10</f>
        <v>2.4000000000000004</v>
      </c>
      <c r="O39" s="4">
        <f t="shared" ref="O39:O46" si="11">func(N39)</f>
        <v>-1.89968914736709</v>
      </c>
    </row>
    <row r="40" spans="2:17" x14ac:dyDescent="0.25">
      <c r="N40" s="4">
        <f t="shared" si="10"/>
        <v>2.6000000000000005</v>
      </c>
      <c r="O40" s="4">
        <f t="shared" si="11"/>
        <v>-1.5906240152908573</v>
      </c>
    </row>
    <row r="41" spans="2:17" x14ac:dyDescent="0.25">
      <c r="N41" s="4">
        <f t="shared" si="10"/>
        <v>2.8000000000000007</v>
      </c>
      <c r="O41" s="4">
        <f t="shared" si="11"/>
        <v>-1.348161351852303</v>
      </c>
    </row>
    <row r="42" spans="2:17" x14ac:dyDescent="0.25">
      <c r="N42" s="4">
        <f t="shared" si="10"/>
        <v>3.0000000000000009</v>
      </c>
      <c r="O42" s="4">
        <f t="shared" si="11"/>
        <v>-1.1376012967610074</v>
      </c>
    </row>
    <row r="43" spans="2:17" x14ac:dyDescent="0.25">
      <c r="N43" s="4">
        <f t="shared" si="10"/>
        <v>3.2000000000000011</v>
      </c>
      <c r="O43" s="4">
        <f t="shared" si="11"/>
        <v>-0.93820854338007165</v>
      </c>
    </row>
    <row r="44" spans="2:17" x14ac:dyDescent="0.25">
      <c r="N44" s="4">
        <f t="shared" si="10"/>
        <v>3.4000000000000012</v>
      </c>
      <c r="O44" s="4">
        <f t="shared" si="11"/>
        <v>-0.73345802706685281</v>
      </c>
    </row>
    <row r="45" spans="2:17" x14ac:dyDescent="0.25">
      <c r="N45" s="4">
        <f t="shared" si="10"/>
        <v>3.6000000000000014</v>
      </c>
      <c r="O45" s="4">
        <f t="shared" si="11"/>
        <v>-0.50504121234742116</v>
      </c>
    </row>
    <row r="46" spans="2:17" x14ac:dyDescent="0.25">
      <c r="N46" s="4">
        <f t="shared" si="10"/>
        <v>3.8000000000000016</v>
      </c>
      <c r="O46" s="4">
        <f t="shared" si="11"/>
        <v>-0.2254435072827122</v>
      </c>
    </row>
    <row r="47" spans="2:17" ht="16.5" thickBot="1" x14ac:dyDescent="0.3">
      <c r="N47" s="18">
        <f t="shared" si="10"/>
        <v>4.0000000000000018</v>
      </c>
      <c r="O47" s="18">
        <f>func(N47)</f>
        <v>0.15849198261051467</v>
      </c>
    </row>
    <row r="48" spans="2:17" x14ac:dyDescent="0.25">
      <c r="N48" s="4" t="s">
        <v>1</v>
      </c>
      <c r="O48" s="4" t="s">
        <v>1</v>
      </c>
      <c r="P48" s="13" t="s">
        <v>1</v>
      </c>
      <c r="Q48" s="13" t="s">
        <v>1</v>
      </c>
    </row>
    <row r="49" spans="14:17" x14ac:dyDescent="0.25">
      <c r="N49" s="4" t="s">
        <v>1</v>
      </c>
      <c r="O49" s="4" t="s">
        <v>1</v>
      </c>
      <c r="P49" s="13" t="s">
        <v>1</v>
      </c>
      <c r="Q49" s="13" t="s">
        <v>1</v>
      </c>
    </row>
    <row r="50" spans="14:17" x14ac:dyDescent="0.25">
      <c r="N50" s="4" t="s">
        <v>1</v>
      </c>
      <c r="O50" s="4" t="s">
        <v>1</v>
      </c>
      <c r="P50" s="13" t="s">
        <v>1</v>
      </c>
      <c r="Q50" s="13" t="s">
        <v>1</v>
      </c>
    </row>
    <row r="51" spans="14:17" x14ac:dyDescent="0.25">
      <c r="N51" s="4" t="s">
        <v>1</v>
      </c>
      <c r="O51" s="4" t="s">
        <v>1</v>
      </c>
      <c r="P51" s="13" t="s">
        <v>1</v>
      </c>
      <c r="Q51" s="13" t="s">
        <v>1</v>
      </c>
    </row>
    <row r="52" spans="14:17" x14ac:dyDescent="0.25">
      <c r="N52" s="4" t="s">
        <v>1</v>
      </c>
      <c r="O52" s="4" t="s">
        <v>1</v>
      </c>
      <c r="P52" s="13" t="s">
        <v>1</v>
      </c>
      <c r="Q52" s="13" t="s">
        <v>1</v>
      </c>
    </row>
    <row r="53" spans="14:17" x14ac:dyDescent="0.25">
      <c r="N53" s="4" t="s">
        <v>1</v>
      </c>
      <c r="O53" s="4" t="s">
        <v>1</v>
      </c>
      <c r="P53" s="13" t="s">
        <v>1</v>
      </c>
      <c r="Q53" s="13" t="s">
        <v>1</v>
      </c>
    </row>
    <row r="54" spans="14:17" x14ac:dyDescent="0.25">
      <c r="N54" s="4" t="s">
        <v>1</v>
      </c>
      <c r="O54" s="4" t="s">
        <v>1</v>
      </c>
      <c r="P54" s="13" t="s">
        <v>1</v>
      </c>
      <c r="Q54" s="13" t="s">
        <v>1</v>
      </c>
    </row>
    <row r="55" spans="14:17" x14ac:dyDescent="0.25">
      <c r="N55" s="4" t="s">
        <v>1</v>
      </c>
      <c r="O55" s="4" t="s">
        <v>1</v>
      </c>
      <c r="P55" s="13" t="s">
        <v>1</v>
      </c>
      <c r="Q55" s="13" t="s">
        <v>1</v>
      </c>
    </row>
    <row r="56" spans="14:17" x14ac:dyDescent="0.25">
      <c r="N56" s="4" t="s">
        <v>1</v>
      </c>
      <c r="O56" s="4" t="s">
        <v>1</v>
      </c>
      <c r="P56" s="13" t="s">
        <v>1</v>
      </c>
      <c r="Q56" s="13" t="s">
        <v>1</v>
      </c>
    </row>
    <row r="57" spans="14:17" x14ac:dyDescent="0.25">
      <c r="N57" s="4" t="s">
        <v>1</v>
      </c>
      <c r="O57" s="4" t="s">
        <v>1</v>
      </c>
      <c r="P57" s="13" t="s">
        <v>1</v>
      </c>
      <c r="Q57" s="13" t="s">
        <v>1</v>
      </c>
    </row>
    <row r="58" spans="14:17" x14ac:dyDescent="0.25">
      <c r="N58" s="4" t="s">
        <v>1</v>
      </c>
      <c r="O58" s="4" t="s">
        <v>1</v>
      </c>
      <c r="P58" s="13" t="s">
        <v>1</v>
      </c>
      <c r="Q58" s="13" t="s">
        <v>1</v>
      </c>
    </row>
    <row r="59" spans="14:17" x14ac:dyDescent="0.25">
      <c r="N59" s="4" t="s">
        <v>1</v>
      </c>
      <c r="O59" s="4" t="s">
        <v>1</v>
      </c>
      <c r="P59" s="13" t="s">
        <v>1</v>
      </c>
      <c r="Q59" s="13" t="s">
        <v>1</v>
      </c>
    </row>
    <row r="60" spans="14:17" x14ac:dyDescent="0.25">
      <c r="N60" s="4" t="s">
        <v>1</v>
      </c>
      <c r="O60" s="4" t="s">
        <v>1</v>
      </c>
      <c r="P60" s="13" t="s">
        <v>1</v>
      </c>
      <c r="Q60" s="13" t="s">
        <v>1</v>
      </c>
    </row>
  </sheetData>
  <phoneticPr fontId="0" type="noConversion"/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60"/>
  <sheetViews>
    <sheetView showGridLines="0" tabSelected="1" workbookViewId="0">
      <selection activeCell="H16" sqref="H16"/>
    </sheetView>
  </sheetViews>
  <sheetFormatPr defaultRowHeight="15.75" x14ac:dyDescent="0.25"/>
  <cols>
    <col min="1" max="1" width="4.140625" customWidth="1"/>
    <col min="2" max="2" width="11" style="1" customWidth="1"/>
    <col min="3" max="8" width="14.7109375" style="1" customWidth="1"/>
    <col min="9" max="9" width="15.7109375" style="1" customWidth="1"/>
    <col min="10" max="10" width="13.5703125" style="1" customWidth="1"/>
    <col min="11" max="13" width="9.28515625" style="1" bestFit="1" customWidth="1"/>
    <col min="14" max="15" width="10.7109375" style="1" bestFit="1" customWidth="1"/>
    <col min="16" max="16" width="9.28515625" style="1" bestFit="1" customWidth="1"/>
    <col min="17" max="17" width="10.7109375" style="1" bestFit="1" customWidth="1"/>
    <col min="18" max="19" width="9.140625" style="1"/>
  </cols>
  <sheetData>
    <row r="1" spans="2:11" ht="18.75" x14ac:dyDescent="0.3">
      <c r="B1" s="1" t="s">
        <v>1</v>
      </c>
      <c r="C1" s="14" t="s">
        <v>7</v>
      </c>
    </row>
    <row r="2" spans="2:11" s="1" customFormat="1" ht="17.25" x14ac:dyDescent="0.3">
      <c r="B2" s="1" t="s">
        <v>1</v>
      </c>
      <c r="K2" s="23" t="s">
        <v>9</v>
      </c>
    </row>
    <row r="3" spans="2:11" s="1" customFormat="1" ht="16.5" x14ac:dyDescent="0.25">
      <c r="B3" s="21" t="s">
        <v>5</v>
      </c>
      <c r="C3" s="25">
        <v>2</v>
      </c>
      <c r="K3" s="24" t="s">
        <v>8</v>
      </c>
    </row>
    <row r="4" spans="2:11" s="1" customFormat="1" x14ac:dyDescent="0.25">
      <c r="B4" s="21" t="s">
        <v>6</v>
      </c>
      <c r="C4" s="25">
        <v>4</v>
      </c>
    </row>
    <row r="5" spans="2:11" s="1" customFormat="1" x14ac:dyDescent="0.25">
      <c r="B5" s="16" t="s">
        <v>3</v>
      </c>
      <c r="C5" s="22">
        <v>1.0000000000000001E-5</v>
      </c>
    </row>
    <row r="7" spans="2:11" s="1" customFormat="1" x14ac:dyDescent="0.25">
      <c r="B7" s="2"/>
      <c r="C7" s="2" t="s">
        <v>1</v>
      </c>
      <c r="D7" s="2" t="s">
        <v>1</v>
      </c>
      <c r="E7" s="2" t="s">
        <v>1</v>
      </c>
      <c r="F7" s="2" t="s">
        <v>1</v>
      </c>
      <c r="G7" s="2"/>
      <c r="H7" s="2"/>
      <c r="I7" s="2"/>
      <c r="J7" s="20"/>
    </row>
    <row r="8" spans="2:11" s="1" customFormat="1" ht="19.5" thickBot="1" x14ac:dyDescent="0.3">
      <c r="B8" s="3" t="s">
        <v>10</v>
      </c>
      <c r="C8" s="3" t="s">
        <v>11</v>
      </c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3" t="s">
        <v>17</v>
      </c>
      <c r="J8" s="20"/>
    </row>
    <row r="9" spans="2:11" s="1" customFormat="1" x14ac:dyDescent="0.25">
      <c r="B9" s="4">
        <v>1</v>
      </c>
      <c r="C9" s="15">
        <v>2</v>
      </c>
      <c r="D9" s="15">
        <v>4</v>
      </c>
      <c r="E9" s="5">
        <v>-3.1490674433373358</v>
      </c>
      <c r="F9" s="5">
        <v>0.15849198261051045</v>
      </c>
      <c r="G9" s="5">
        <v>3</v>
      </c>
      <c r="H9" s="19">
        <v>-1.1376012967610083</v>
      </c>
      <c r="I9" s="6">
        <v>2</v>
      </c>
      <c r="J9" s="20"/>
    </row>
    <row r="10" spans="2:11" s="1" customFormat="1" x14ac:dyDescent="0.25">
      <c r="B10" s="4">
        <v>2</v>
      </c>
      <c r="C10" s="5">
        <v>3</v>
      </c>
      <c r="D10" s="5">
        <v>4</v>
      </c>
      <c r="E10" s="5">
        <v>-1.1376012967610083</v>
      </c>
      <c r="F10" s="5">
        <v>0.15849198261051045</v>
      </c>
      <c r="G10" s="5">
        <v>3.5</v>
      </c>
      <c r="H10" s="19">
        <v>-0.62359225745260405</v>
      </c>
      <c r="I10" s="6">
        <v>1</v>
      </c>
      <c r="J10" s="20"/>
    </row>
    <row r="11" spans="2:11" s="1" customFormat="1" x14ac:dyDescent="0.25">
      <c r="B11" s="4">
        <v>3</v>
      </c>
      <c r="C11" s="5">
        <v>3.5</v>
      </c>
      <c r="D11" s="5">
        <v>4</v>
      </c>
      <c r="E11" s="5">
        <v>-0.62359225745260405</v>
      </c>
      <c r="F11" s="5">
        <v>0.15849198261051045</v>
      </c>
      <c r="G11" s="5">
        <v>3.75</v>
      </c>
      <c r="H11" s="19">
        <v>-0.30234359161469271</v>
      </c>
      <c r="I11" s="6">
        <v>0.5</v>
      </c>
      <c r="J11" s="8"/>
    </row>
    <row r="12" spans="2:11" s="1" customFormat="1" x14ac:dyDescent="0.25">
      <c r="B12" s="4">
        <v>4</v>
      </c>
      <c r="C12" s="5">
        <v>3.75</v>
      </c>
      <c r="D12" s="5">
        <v>4</v>
      </c>
      <c r="E12" s="5">
        <v>-0.30234359161469271</v>
      </c>
      <c r="F12" s="5">
        <v>0.15849198261051045</v>
      </c>
      <c r="G12" s="5">
        <v>3.875</v>
      </c>
      <c r="H12" s="19">
        <v>-9.8066351260501783E-2</v>
      </c>
      <c r="I12" s="6">
        <v>0.25</v>
      </c>
      <c r="J12" s="8"/>
    </row>
    <row r="13" spans="2:11" s="1" customFormat="1" x14ac:dyDescent="0.25">
      <c r="B13" s="4">
        <v>5</v>
      </c>
      <c r="C13" s="5">
        <v>3.875</v>
      </c>
      <c r="D13" s="5">
        <v>4</v>
      </c>
      <c r="E13" s="5">
        <v>-9.8066351260501783E-2</v>
      </c>
      <c r="F13" s="5">
        <v>0.15849198261051045</v>
      </c>
      <c r="G13" s="5">
        <v>3.9375</v>
      </c>
      <c r="H13" s="19">
        <v>2.2002357229851357E-2</v>
      </c>
      <c r="I13" s="6">
        <v>0.125</v>
      </c>
      <c r="J13" s="8"/>
    </row>
    <row r="14" spans="2:11" s="1" customFormat="1" x14ac:dyDescent="0.25">
      <c r="B14" s="4">
        <v>6</v>
      </c>
      <c r="C14" s="5">
        <v>3.875</v>
      </c>
      <c r="D14" s="5">
        <v>3.9375</v>
      </c>
      <c r="E14" s="5">
        <v>-9.8066351260501783E-2</v>
      </c>
      <c r="F14" s="5">
        <v>2.2002357229851357E-2</v>
      </c>
      <c r="G14" s="5">
        <v>3.90625</v>
      </c>
      <c r="H14" s="19">
        <v>-3.9835499943777948E-2</v>
      </c>
      <c r="I14" s="6">
        <v>6.25E-2</v>
      </c>
      <c r="J14" s="8"/>
    </row>
    <row r="15" spans="2:11" s="1" customFormat="1" x14ac:dyDescent="0.25">
      <c r="B15" s="4">
        <v>7</v>
      </c>
      <c r="C15" s="5">
        <v>3.90625</v>
      </c>
      <c r="D15" s="5">
        <v>3.9375</v>
      </c>
      <c r="E15" s="5">
        <v>-3.9835499943777948E-2</v>
      </c>
      <c r="F15" s="5">
        <v>2.2002357229851357E-2</v>
      </c>
      <c r="G15" s="5">
        <v>3.921875</v>
      </c>
      <c r="H15" s="19">
        <v>-9.3955619982120115E-3</v>
      </c>
      <c r="I15" s="6">
        <v>3.125E-2</v>
      </c>
      <c r="J15" s="8"/>
    </row>
    <row r="16" spans="2:11" s="1" customFormat="1" x14ac:dyDescent="0.25">
      <c r="B16" s="4">
        <v>8</v>
      </c>
      <c r="C16" s="5">
        <v>3.921875</v>
      </c>
      <c r="D16" s="5">
        <v>3.9375</v>
      </c>
      <c r="E16" s="5">
        <v>-9.3955619982120115E-3</v>
      </c>
      <c r="F16" s="5">
        <v>2.2002357229851357E-2</v>
      </c>
      <c r="G16" s="5">
        <v>3.9296875</v>
      </c>
      <c r="H16" s="19">
        <v>6.1798948769006129E-3</v>
      </c>
      <c r="I16" s="6">
        <v>1.5625E-2</v>
      </c>
      <c r="J16" s="8"/>
    </row>
    <row r="17" spans="2:10" s="1" customFormat="1" x14ac:dyDescent="0.25">
      <c r="B17" s="4">
        <v>9</v>
      </c>
      <c r="C17" s="5">
        <v>3.921875</v>
      </c>
      <c r="D17" s="5">
        <v>3.9296875</v>
      </c>
      <c r="E17" s="5">
        <v>-9.3955619982120115E-3</v>
      </c>
      <c r="F17" s="5">
        <v>6.1798948769006129E-3</v>
      </c>
      <c r="G17" s="5">
        <v>3.92578125</v>
      </c>
      <c r="H17" s="19">
        <v>-1.6382284166533403E-3</v>
      </c>
      <c r="I17" s="6">
        <v>7.8125E-3</v>
      </c>
      <c r="J17" s="8"/>
    </row>
    <row r="18" spans="2:10" s="1" customFormat="1" x14ac:dyDescent="0.25">
      <c r="B18" s="4">
        <v>10</v>
      </c>
      <c r="C18" s="5">
        <v>3.92578125</v>
      </c>
      <c r="D18" s="5">
        <v>3.9296875</v>
      </c>
      <c r="E18" s="5">
        <v>-1.6382284166533403E-3</v>
      </c>
      <c r="F18" s="5">
        <v>6.1798948769006129E-3</v>
      </c>
      <c r="G18" s="5">
        <v>3.927734375</v>
      </c>
      <c r="H18" s="19">
        <v>2.2631751474630349E-3</v>
      </c>
      <c r="I18" s="6">
        <v>3.90625E-3</v>
      </c>
      <c r="J18" s="8"/>
    </row>
    <row r="19" spans="2:10" s="1" customFormat="1" x14ac:dyDescent="0.25">
      <c r="B19" s="4">
        <v>11</v>
      </c>
      <c r="C19" s="5">
        <v>3.92578125</v>
      </c>
      <c r="D19" s="5">
        <v>3.927734375</v>
      </c>
      <c r="E19" s="5">
        <v>-1.6382284166533403E-3</v>
      </c>
      <c r="F19" s="5">
        <v>2.2631751474630349E-3</v>
      </c>
      <c r="G19" s="5">
        <v>3.9267578125</v>
      </c>
      <c r="H19" s="19">
        <v>3.1056631112429096E-4</v>
      </c>
      <c r="I19" s="6">
        <v>1.953125E-3</v>
      </c>
      <c r="J19" s="8"/>
    </row>
    <row r="20" spans="2:10" s="1" customFormat="1" x14ac:dyDescent="0.25">
      <c r="B20" s="4">
        <v>12</v>
      </c>
      <c r="C20" s="5">
        <v>3.92578125</v>
      </c>
      <c r="D20" s="5">
        <v>3.9267578125</v>
      </c>
      <c r="E20" s="5">
        <v>-1.6382284166533403E-3</v>
      </c>
      <c r="F20" s="5">
        <v>3.1056631112429096E-4</v>
      </c>
      <c r="G20" s="5">
        <v>3.92626953125</v>
      </c>
      <c r="H20" s="19">
        <v>-6.6430688702277915E-4</v>
      </c>
      <c r="I20" s="6">
        <v>9.765625E-4</v>
      </c>
      <c r="J20" s="8"/>
    </row>
    <row r="21" spans="2:10" s="1" customFormat="1" x14ac:dyDescent="0.25">
      <c r="B21" s="4">
        <v>13</v>
      </c>
      <c r="C21" s="5">
        <v>3.92626953125</v>
      </c>
      <c r="D21" s="5">
        <v>3.9267578125</v>
      </c>
      <c r="E21" s="5">
        <v>-6.6430688702277915E-4</v>
      </c>
      <c r="F21" s="5">
        <v>3.1056631112429096E-4</v>
      </c>
      <c r="G21" s="5">
        <v>3.926513671875</v>
      </c>
      <c r="H21" s="19">
        <v>-1.7698936250047707E-4</v>
      </c>
      <c r="I21" s="6">
        <v>4.8828125E-4</v>
      </c>
      <c r="J21" s="8"/>
    </row>
    <row r="22" spans="2:10" s="1" customFormat="1" x14ac:dyDescent="0.25">
      <c r="B22" s="4">
        <v>14</v>
      </c>
      <c r="C22" s="5">
        <v>3.926513671875</v>
      </c>
      <c r="D22" s="5">
        <v>3.9267578125</v>
      </c>
      <c r="E22" s="5">
        <v>-1.7698936250047707E-4</v>
      </c>
      <c r="F22" s="5">
        <v>3.1056631112429096E-4</v>
      </c>
      <c r="G22" s="5">
        <v>3.9266357421875</v>
      </c>
      <c r="H22" s="19">
        <v>6.6758691160210865E-5</v>
      </c>
      <c r="I22" s="6">
        <v>2.44140625E-4</v>
      </c>
      <c r="J22" s="8"/>
    </row>
    <row r="23" spans="2:10" s="1" customFormat="1" x14ac:dyDescent="0.25">
      <c r="B23" s="9">
        <v>15</v>
      </c>
      <c r="C23" s="5">
        <v>3.926513671875</v>
      </c>
      <c r="D23" s="5">
        <v>3.9266357421875</v>
      </c>
      <c r="E23" s="5">
        <v>-1.7698936250047707E-4</v>
      </c>
      <c r="F23" s="5">
        <v>6.6758691160210865E-5</v>
      </c>
      <c r="G23" s="5">
        <v>3.92657470703125</v>
      </c>
      <c r="H23" s="19">
        <v>-5.5122779643088972E-5</v>
      </c>
      <c r="I23" s="6">
        <v>1.220703125E-4</v>
      </c>
      <c r="J23" s="8"/>
    </row>
    <row r="24" spans="2:10" s="1" customFormat="1" x14ac:dyDescent="0.25">
      <c r="B24" s="4">
        <v>16</v>
      </c>
      <c r="C24" s="5">
        <v>3.92657470703125</v>
      </c>
      <c r="D24" s="5">
        <v>3.9266357421875</v>
      </c>
      <c r="E24" s="5">
        <v>-5.5122779643088972E-5</v>
      </c>
      <c r="F24" s="5">
        <v>6.6758691160210865E-5</v>
      </c>
      <c r="G24" s="5">
        <v>3.926605224609375</v>
      </c>
      <c r="H24" s="19">
        <v>5.8160945385219895E-6</v>
      </c>
      <c r="I24" s="6">
        <v>6.103515625E-5</v>
      </c>
      <c r="J24" s="8"/>
    </row>
    <row r="25" spans="2:10" s="1" customFormat="1" x14ac:dyDescent="0.25">
      <c r="B25" s="4"/>
      <c r="C25" s="5"/>
      <c r="D25" s="5"/>
      <c r="E25" s="5"/>
      <c r="F25" s="5"/>
      <c r="G25" s="5"/>
      <c r="H25" s="19"/>
      <c r="I25" s="6"/>
      <c r="J25" s="8"/>
    </row>
    <row r="26" spans="2:10" s="1" customFormat="1" x14ac:dyDescent="0.25">
      <c r="B26" s="4"/>
      <c r="C26" s="5"/>
      <c r="D26" s="5"/>
      <c r="E26" s="5"/>
      <c r="F26" s="5"/>
      <c r="G26" s="5"/>
      <c r="H26" s="19"/>
      <c r="I26" s="6"/>
      <c r="J26" s="8"/>
    </row>
    <row r="27" spans="2:10" s="1" customFormat="1" x14ac:dyDescent="0.25">
      <c r="B27" s="4"/>
      <c r="C27" s="5"/>
      <c r="D27" s="5"/>
      <c r="E27" s="5"/>
      <c r="F27" s="5"/>
      <c r="G27" s="5"/>
      <c r="H27" s="19"/>
      <c r="I27" s="6"/>
      <c r="J27" s="8"/>
    </row>
    <row r="28" spans="2:10" s="1" customFormat="1" x14ac:dyDescent="0.25">
      <c r="B28" s="4"/>
      <c r="C28" s="5"/>
      <c r="D28" s="5"/>
      <c r="E28" s="5"/>
      <c r="F28" s="5"/>
      <c r="G28" s="5"/>
      <c r="H28" s="19"/>
      <c r="I28" s="6"/>
      <c r="J28" s="8"/>
    </row>
    <row r="29" spans="2:10" s="1" customFormat="1" x14ac:dyDescent="0.25">
      <c r="B29" s="4"/>
      <c r="C29" s="5"/>
      <c r="D29" s="5"/>
      <c r="E29" s="5"/>
      <c r="F29" s="5"/>
      <c r="G29" s="5"/>
      <c r="H29" s="19"/>
      <c r="I29" s="6"/>
      <c r="J29" s="8"/>
    </row>
    <row r="30" spans="2:10" s="1" customFormat="1" x14ac:dyDescent="0.25">
      <c r="B30" s="4"/>
      <c r="C30" s="5"/>
      <c r="D30" s="5"/>
      <c r="E30" s="5"/>
      <c r="F30" s="5"/>
      <c r="G30" s="5"/>
      <c r="H30" s="19"/>
      <c r="I30" s="6"/>
      <c r="J30" s="8"/>
    </row>
    <row r="31" spans="2:10" s="1" customFormat="1" x14ac:dyDescent="0.25">
      <c r="B31" s="4"/>
      <c r="C31" s="5"/>
      <c r="D31" s="5"/>
      <c r="E31" s="5"/>
      <c r="F31" s="5"/>
      <c r="G31" s="5"/>
      <c r="H31" s="19"/>
      <c r="I31" s="6"/>
      <c r="J31" s="8"/>
    </row>
    <row r="32" spans="2:10" s="1" customFormat="1" x14ac:dyDescent="0.25">
      <c r="B32" s="4"/>
      <c r="C32" s="5"/>
      <c r="D32" s="5"/>
      <c r="E32" s="5"/>
      <c r="F32" s="5"/>
      <c r="G32" s="5"/>
      <c r="H32" s="19"/>
      <c r="I32" s="6"/>
      <c r="J32" s="8"/>
    </row>
    <row r="33" spans="2:17" s="1" customFormat="1" x14ac:dyDescent="0.25">
      <c r="B33" s="4"/>
      <c r="C33" s="11"/>
      <c r="D33" s="11"/>
      <c r="E33" s="11"/>
      <c r="F33" s="11"/>
      <c r="G33" s="5"/>
      <c r="H33" s="5"/>
      <c r="I33" s="10"/>
      <c r="J33" s="7"/>
      <c r="K33" s="7"/>
      <c r="L33" s="7"/>
    </row>
    <row r="34" spans="2:17" s="1" customFormat="1" x14ac:dyDescent="0.25">
      <c r="B34" s="4"/>
      <c r="C34" s="11"/>
      <c r="D34" s="11"/>
      <c r="E34" s="11"/>
      <c r="F34" s="11"/>
      <c r="G34" s="11"/>
      <c r="H34" s="11"/>
      <c r="I34" s="12"/>
      <c r="J34" s="7"/>
      <c r="K34" s="7"/>
      <c r="L34" s="7"/>
    </row>
    <row r="35" spans="2:17" s="1" customFormat="1" x14ac:dyDescent="0.25">
      <c r="B35" s="4"/>
      <c r="C35" s="11"/>
      <c r="D35" s="11"/>
      <c r="E35" s="11"/>
      <c r="F35" s="11"/>
      <c r="G35" s="11"/>
      <c r="H35" s="12"/>
      <c r="I35" s="12"/>
      <c r="J35" s="7"/>
      <c r="K35" s="7"/>
      <c r="L35" s="7"/>
    </row>
    <row r="36" spans="2:17" s="1" customFormat="1" ht="16.5" thickBot="1" x14ac:dyDescent="0.3">
      <c r="C36" s="11"/>
      <c r="D36" s="11"/>
      <c r="E36" s="11"/>
      <c r="N36" s="3" t="s">
        <v>0</v>
      </c>
      <c r="O36" s="17" t="s">
        <v>4</v>
      </c>
    </row>
    <row r="37" spans="2:17" s="1" customFormat="1" x14ac:dyDescent="0.25">
      <c r="C37" s="11"/>
      <c r="D37" s="11"/>
      <c r="E37" s="11"/>
      <c r="N37" s="4">
        <f>a</f>
        <v>2</v>
      </c>
      <c r="O37" s="4">
        <f>func(N37)</f>
        <v>-3.1490674433373358</v>
      </c>
    </row>
    <row r="38" spans="2:17" s="1" customFormat="1" x14ac:dyDescent="0.25">
      <c r="C38" s="11"/>
      <c r="D38" s="11"/>
      <c r="E38" s="11"/>
      <c r="N38" s="4">
        <f>a+(b-a)/10</f>
        <v>2.2000000000000002</v>
      </c>
      <c r="O38" s="4">
        <f>func(N38)</f>
        <v>-2.3495661868002462</v>
      </c>
    </row>
    <row r="39" spans="2:17" s="1" customFormat="1" x14ac:dyDescent="0.25">
      <c r="N39" s="4">
        <f t="shared" ref="N39:N47" si="0">N38+(b-a)/10</f>
        <v>2.4000000000000004</v>
      </c>
      <c r="O39" s="4">
        <f t="shared" ref="O39:O46" si="1">func(N39)</f>
        <v>-1.89968914736709</v>
      </c>
    </row>
    <row r="40" spans="2:17" s="1" customFormat="1" x14ac:dyDescent="0.25">
      <c r="N40" s="4">
        <f t="shared" si="0"/>
        <v>2.6000000000000005</v>
      </c>
      <c r="O40" s="4">
        <f t="shared" si="1"/>
        <v>-1.5906240152908573</v>
      </c>
    </row>
    <row r="41" spans="2:17" s="1" customFormat="1" x14ac:dyDescent="0.25">
      <c r="N41" s="4">
        <f t="shared" si="0"/>
        <v>2.8000000000000007</v>
      </c>
      <c r="O41" s="4">
        <f t="shared" si="1"/>
        <v>-1.348161351852303</v>
      </c>
    </row>
    <row r="42" spans="2:17" s="1" customFormat="1" x14ac:dyDescent="0.25">
      <c r="N42" s="4">
        <f t="shared" si="0"/>
        <v>3.0000000000000009</v>
      </c>
      <c r="O42" s="4">
        <f t="shared" si="1"/>
        <v>-1.1376012967610074</v>
      </c>
    </row>
    <row r="43" spans="2:17" s="1" customFormat="1" x14ac:dyDescent="0.25">
      <c r="N43" s="4">
        <f t="shared" si="0"/>
        <v>3.2000000000000011</v>
      </c>
      <c r="O43" s="4">
        <f t="shared" si="1"/>
        <v>-0.93820854338007165</v>
      </c>
    </row>
    <row r="44" spans="2:17" s="1" customFormat="1" x14ac:dyDescent="0.25">
      <c r="N44" s="4">
        <f t="shared" si="0"/>
        <v>3.4000000000000012</v>
      </c>
      <c r="O44" s="4">
        <f t="shared" si="1"/>
        <v>-0.73345802706685281</v>
      </c>
    </row>
    <row r="45" spans="2:17" s="1" customFormat="1" x14ac:dyDescent="0.25">
      <c r="N45" s="4">
        <f t="shared" si="0"/>
        <v>3.6000000000000014</v>
      </c>
      <c r="O45" s="4">
        <f t="shared" si="1"/>
        <v>-0.50504121234742116</v>
      </c>
    </row>
    <row r="46" spans="2:17" s="1" customFormat="1" x14ac:dyDescent="0.25">
      <c r="N46" s="4">
        <f t="shared" si="0"/>
        <v>3.8000000000000016</v>
      </c>
      <c r="O46" s="4">
        <f t="shared" si="1"/>
        <v>-0.2254435072827122</v>
      </c>
    </row>
    <row r="47" spans="2:17" s="1" customFormat="1" ht="16.5" thickBot="1" x14ac:dyDescent="0.3">
      <c r="N47" s="18">
        <f t="shared" si="0"/>
        <v>4.0000000000000018</v>
      </c>
      <c r="O47" s="18">
        <f>func(N47)</f>
        <v>0.15849198261051467</v>
      </c>
    </row>
    <row r="48" spans="2:17" s="1" customFormat="1" x14ac:dyDescent="0.25">
      <c r="N48" s="4" t="s">
        <v>1</v>
      </c>
      <c r="O48" s="4" t="s">
        <v>1</v>
      </c>
      <c r="P48" s="13" t="s">
        <v>1</v>
      </c>
      <c r="Q48" s="13" t="s">
        <v>1</v>
      </c>
    </row>
    <row r="49" spans="14:17" s="1" customFormat="1" x14ac:dyDescent="0.25">
      <c r="N49" s="4" t="s">
        <v>1</v>
      </c>
      <c r="O49" s="4" t="s">
        <v>1</v>
      </c>
      <c r="P49" s="13" t="s">
        <v>1</v>
      </c>
      <c r="Q49" s="13" t="s">
        <v>1</v>
      </c>
    </row>
    <row r="50" spans="14:17" s="1" customFormat="1" x14ac:dyDescent="0.25">
      <c r="N50" s="4" t="s">
        <v>1</v>
      </c>
      <c r="O50" s="4" t="s">
        <v>1</v>
      </c>
      <c r="P50" s="13" t="s">
        <v>1</v>
      </c>
      <c r="Q50" s="13" t="s">
        <v>1</v>
      </c>
    </row>
    <row r="51" spans="14:17" s="1" customFormat="1" x14ac:dyDescent="0.25">
      <c r="N51" s="4" t="s">
        <v>1</v>
      </c>
      <c r="O51" s="4" t="s">
        <v>1</v>
      </c>
      <c r="P51" s="13" t="s">
        <v>1</v>
      </c>
      <c r="Q51" s="13" t="s">
        <v>1</v>
      </c>
    </row>
    <row r="52" spans="14:17" s="1" customFormat="1" x14ac:dyDescent="0.25">
      <c r="N52" s="4" t="s">
        <v>1</v>
      </c>
      <c r="O52" s="4" t="s">
        <v>1</v>
      </c>
      <c r="P52" s="13" t="s">
        <v>1</v>
      </c>
      <c r="Q52" s="13" t="s">
        <v>1</v>
      </c>
    </row>
    <row r="53" spans="14:17" s="1" customFormat="1" x14ac:dyDescent="0.25">
      <c r="N53" s="4" t="s">
        <v>1</v>
      </c>
      <c r="O53" s="4" t="s">
        <v>1</v>
      </c>
      <c r="P53" s="13" t="s">
        <v>1</v>
      </c>
      <c r="Q53" s="13" t="s">
        <v>1</v>
      </c>
    </row>
    <row r="54" spans="14:17" s="1" customFormat="1" x14ac:dyDescent="0.25">
      <c r="N54" s="4" t="s">
        <v>1</v>
      </c>
      <c r="O54" s="4" t="s">
        <v>1</v>
      </c>
      <c r="P54" s="13" t="s">
        <v>1</v>
      </c>
      <c r="Q54" s="13" t="s">
        <v>1</v>
      </c>
    </row>
    <row r="55" spans="14:17" s="1" customFormat="1" x14ac:dyDescent="0.25">
      <c r="N55" s="4" t="s">
        <v>1</v>
      </c>
      <c r="O55" s="4" t="s">
        <v>1</v>
      </c>
      <c r="P55" s="13" t="s">
        <v>1</v>
      </c>
      <c r="Q55" s="13" t="s">
        <v>1</v>
      </c>
    </row>
    <row r="56" spans="14:17" s="1" customFormat="1" x14ac:dyDescent="0.25">
      <c r="N56" s="4" t="s">
        <v>1</v>
      </c>
      <c r="O56" s="4" t="s">
        <v>1</v>
      </c>
      <c r="P56" s="13" t="s">
        <v>1</v>
      </c>
      <c r="Q56" s="13" t="s">
        <v>1</v>
      </c>
    </row>
    <row r="57" spans="14:17" s="1" customFormat="1" x14ac:dyDescent="0.25">
      <c r="N57" s="4" t="s">
        <v>1</v>
      </c>
      <c r="O57" s="4" t="s">
        <v>1</v>
      </c>
      <c r="P57" s="13" t="s">
        <v>1</v>
      </c>
      <c r="Q57" s="13" t="s">
        <v>1</v>
      </c>
    </row>
    <row r="58" spans="14:17" s="1" customFormat="1" x14ac:dyDescent="0.25">
      <c r="N58" s="4" t="s">
        <v>1</v>
      </c>
      <c r="O58" s="4" t="s">
        <v>1</v>
      </c>
      <c r="P58" s="13" t="s">
        <v>1</v>
      </c>
      <c r="Q58" s="13" t="s">
        <v>1</v>
      </c>
    </row>
    <row r="59" spans="14:17" s="1" customFormat="1" x14ac:dyDescent="0.25">
      <c r="N59" s="4" t="s">
        <v>1</v>
      </c>
      <c r="O59" s="4" t="s">
        <v>1</v>
      </c>
      <c r="P59" s="13" t="s">
        <v>1</v>
      </c>
      <c r="Q59" s="13" t="s">
        <v>1</v>
      </c>
    </row>
    <row r="60" spans="14:17" s="1" customFormat="1" x14ac:dyDescent="0.25">
      <c r="N60" s="4" t="s">
        <v>1</v>
      </c>
      <c r="O60" s="4" t="s">
        <v>1</v>
      </c>
      <c r="P60" s="13" t="s">
        <v>1</v>
      </c>
      <c r="Q60" s="13" t="s">
        <v>1</v>
      </c>
    </row>
  </sheetData>
  <pageMargins left="0.75" right="0.75" top="1" bottom="1" header="0.5" footer="0.5"/>
  <pageSetup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219075</xdr:colOff>
                    <xdr:row>2</xdr:row>
                    <xdr:rowOff>0</xdr:rowOff>
                  </from>
                  <to>
                    <xdr:col>6</xdr:col>
                    <xdr:colOff>419100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609600</xdr:colOff>
                    <xdr:row>1</xdr:row>
                    <xdr:rowOff>180975</xdr:rowOff>
                  </from>
                  <to>
                    <xdr:col>7</xdr:col>
                    <xdr:colOff>809625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utton3_Click">
                <anchor moveWithCells="1" sizeWithCells="1">
                  <from>
                    <xdr:col>8</xdr:col>
                    <xdr:colOff>9525</xdr:colOff>
                    <xdr:row>1</xdr:row>
                    <xdr:rowOff>161925</xdr:rowOff>
                  </from>
                  <to>
                    <xdr:col>9</xdr:col>
                    <xdr:colOff>361950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bisection</vt:lpstr>
      <vt:lpstr>bisection w macros</vt:lpstr>
      <vt:lpstr>'bisection w macros'!a</vt:lpstr>
      <vt:lpstr>a</vt:lpstr>
      <vt:lpstr>'bisection w macros'!b</vt:lpstr>
      <vt:lpstr>b</vt:lpstr>
      <vt:lpstr>'bisection w macros'!eps</vt:lpstr>
      <vt:lpstr>eps</vt:lpstr>
    </vt:vector>
  </TitlesOfParts>
  <Company>University of Maryland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sgabriel</dc:creator>
  <cp:lastModifiedBy>Zaltac_PC</cp:lastModifiedBy>
  <dcterms:created xsi:type="dcterms:W3CDTF">2002-01-04T16:09:53Z</dcterms:created>
  <dcterms:modified xsi:type="dcterms:W3CDTF">2024-11-20T07:37:06Z</dcterms:modified>
</cp:coreProperties>
</file>