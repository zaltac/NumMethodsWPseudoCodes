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ysite\zaltac.github.io\NumMethodsWPseudoCodes\Chapter04\"/>
    </mc:Choice>
  </mc:AlternateContent>
  <bookViews>
    <workbookView xWindow="0" yWindow="0" windowWidth="18195" windowHeight="9750"/>
  </bookViews>
  <sheets>
    <sheet name="Info" sheetId="3" r:id="rId1"/>
    <sheet name="Newton-Raphson" sheetId="1" r:id="rId2"/>
    <sheet name="Newton-Raphson w Macro" sheetId="2" r:id="rId3"/>
  </sheets>
  <functionGroups builtInGroupCount="18"/>
  <definedNames>
    <definedName name="a" localSheetId="2">'Newton-Raphson w Macro'!$D$4</definedName>
    <definedName name="a">'Newton-Raphson'!$D$4</definedName>
    <definedName name="eps" localSheetId="2">'Newton-Raphson w Macro'!$C$4</definedName>
    <definedName name="eps">'Newton-Raphson'!$C$4</definedName>
  </definedNames>
  <calcPr calcId="162913"/>
</workbook>
</file>

<file path=xl/calcChain.xml><?xml version="1.0" encoding="utf-8"?>
<calcChain xmlns="http://schemas.openxmlformats.org/spreadsheetml/2006/main">
  <c r="C13" i="1" l="1"/>
  <c r="E13" i="1"/>
  <c r="D13" i="1"/>
  <c r="F13" i="1" l="1"/>
  <c r="H13" i="1" l="1"/>
  <c r="G13" i="1"/>
  <c r="C14" i="1"/>
  <c r="D14" i="1"/>
  <c r="E14" i="1"/>
  <c r="F14" i="1" l="1"/>
  <c r="G14" i="1" s="1"/>
  <c r="H14" i="1" l="1"/>
  <c r="C15" i="1"/>
  <c r="D15" i="1"/>
  <c r="E15" i="1"/>
  <c r="F15" i="1" l="1"/>
  <c r="C16" i="1"/>
  <c r="D16" i="1"/>
  <c r="E16" i="1"/>
  <c r="F16" i="1" l="1"/>
  <c r="G16" i="1" s="1"/>
  <c r="G15" i="1"/>
  <c r="H15" i="1" l="1"/>
  <c r="C17" i="1"/>
  <c r="H16" i="1"/>
  <c r="E17" i="1"/>
  <c r="D17" i="1"/>
  <c r="F17" i="1" l="1"/>
  <c r="G17" i="1" s="1"/>
  <c r="C18" i="1" l="1"/>
  <c r="H17" i="1"/>
  <c r="E18" i="1"/>
  <c r="D18" i="1"/>
  <c r="F18" i="1" l="1"/>
  <c r="G18" i="1" s="1"/>
  <c r="C19" i="1" l="1"/>
  <c r="H18" i="1"/>
  <c r="E19" i="1"/>
  <c r="D19" i="1"/>
  <c r="F19" i="1" l="1"/>
  <c r="G19" i="1" s="1"/>
  <c r="C20" i="1"/>
  <c r="D20" i="1"/>
  <c r="E20" i="1"/>
  <c r="F20" i="1" l="1"/>
  <c r="C21" i="1"/>
  <c r="H19" i="1"/>
  <c r="E21" i="1"/>
  <c r="D21" i="1"/>
  <c r="F21" i="1" l="1"/>
  <c r="H20" i="1"/>
  <c r="G20" i="1"/>
  <c r="C22" i="1"/>
  <c r="E22" i="1"/>
  <c r="D22" i="1"/>
  <c r="F22" i="1" l="1"/>
  <c r="H21" i="1"/>
  <c r="G21" i="1"/>
  <c r="C23" i="1"/>
  <c r="D23" i="1"/>
  <c r="E23" i="1"/>
  <c r="F23" i="1" l="1"/>
  <c r="C24" i="1"/>
  <c r="H22" i="1"/>
  <c r="G22" i="1"/>
  <c r="E24" i="1"/>
  <c r="D24" i="1"/>
  <c r="F24" i="1" l="1"/>
  <c r="H23" i="1"/>
  <c r="G23" i="1"/>
  <c r="C25" i="1" l="1"/>
  <c r="D25" i="1"/>
  <c r="E25" i="1"/>
  <c r="F25" i="1" l="1"/>
  <c r="H24" i="1"/>
  <c r="G24" i="1"/>
  <c r="G25" i="1" l="1"/>
  <c r="C26" i="1"/>
  <c r="E26" i="1"/>
  <c r="D26" i="1"/>
  <c r="F26" i="1" l="1"/>
  <c r="H25" i="1"/>
  <c r="C27" i="1" l="1"/>
  <c r="D27" i="1"/>
  <c r="E27" i="1"/>
  <c r="F27" i="1" l="1"/>
  <c r="H26" i="1"/>
  <c r="G26" i="1"/>
  <c r="C28" i="1"/>
  <c r="E28" i="1"/>
  <c r="D28" i="1"/>
  <c r="F28" i="1" l="1"/>
  <c r="H27" i="1"/>
  <c r="G27" i="1"/>
  <c r="C29" i="1" l="1"/>
  <c r="H28" i="1"/>
  <c r="G28" i="1"/>
  <c r="D29" i="1"/>
  <c r="E29" i="1"/>
  <c r="F29" i="1" l="1"/>
  <c r="C30" i="1"/>
  <c r="D30" i="1"/>
  <c r="E30" i="1"/>
  <c r="F30" i="1" l="1"/>
  <c r="H29" i="1"/>
  <c r="G29" i="1"/>
  <c r="C31" i="1"/>
  <c r="E31" i="1"/>
  <c r="D31" i="1"/>
  <c r="F31" i="1" l="1"/>
  <c r="H30" i="1"/>
  <c r="G30" i="1"/>
  <c r="C32" i="1" l="1"/>
  <c r="D32" i="1"/>
  <c r="E32" i="1"/>
  <c r="F32" i="1" l="1"/>
  <c r="H31" i="1"/>
  <c r="G31" i="1"/>
  <c r="C33" i="1" l="1"/>
  <c r="D33" i="1"/>
  <c r="E33" i="1"/>
  <c r="F33" i="1" l="1"/>
  <c r="H32" i="1"/>
  <c r="G32" i="1"/>
  <c r="H33" i="1" l="1"/>
  <c r="C34" i="1"/>
  <c r="D34" i="1"/>
  <c r="E34" i="1"/>
  <c r="F34" i="1" l="1"/>
  <c r="G33" i="1"/>
  <c r="H34" i="1" l="1"/>
  <c r="C35" i="1"/>
  <c r="E35" i="1"/>
  <c r="D35" i="1"/>
  <c r="F35" i="1" l="1"/>
  <c r="G34" i="1"/>
  <c r="C36" i="1"/>
  <c r="E36" i="1"/>
  <c r="D36" i="1"/>
  <c r="F36" i="1" l="1"/>
  <c r="H36" i="1" s="1"/>
  <c r="G36" i="1"/>
  <c r="H35" i="1"/>
  <c r="G35" i="1"/>
  <c r="C37" i="1"/>
  <c r="D37" i="1"/>
  <c r="E37" i="1"/>
  <c r="F37" i="1" l="1"/>
  <c r="C38" i="1"/>
  <c r="D38" i="1"/>
  <c r="E38" i="1"/>
  <c r="F38" i="1" l="1"/>
  <c r="H37" i="1"/>
  <c r="G37" i="1"/>
  <c r="C39" i="1" l="1"/>
  <c r="D39" i="1"/>
  <c r="E39" i="1"/>
  <c r="F39" i="1" l="1"/>
  <c r="H38" i="1"/>
  <c r="G38" i="1"/>
  <c r="C40" i="1" l="1"/>
  <c r="D40" i="1"/>
  <c r="E40" i="1"/>
  <c r="F40" i="1" l="1"/>
  <c r="H39" i="1"/>
  <c r="G39" i="1"/>
  <c r="C41" i="1" l="1"/>
  <c r="E41" i="1"/>
  <c r="D41" i="1"/>
  <c r="F41" i="1" l="1"/>
  <c r="H40" i="1"/>
  <c r="G40" i="1"/>
  <c r="C42" i="1" l="1"/>
  <c r="E42" i="1"/>
  <c r="D42" i="1"/>
  <c r="F42" i="1" l="1"/>
  <c r="H41" i="1"/>
  <c r="G41" i="1"/>
  <c r="H42" i="1" l="1"/>
  <c r="G42" i="1"/>
</calcChain>
</file>

<file path=xl/sharedStrings.xml><?xml version="1.0" encoding="utf-8"?>
<sst xmlns="http://schemas.openxmlformats.org/spreadsheetml/2006/main" count="69" uniqueCount="50">
  <si>
    <t>e=</t>
  </si>
  <si>
    <t>Required Input</t>
  </si>
  <si>
    <t>K</t>
  </si>
  <si>
    <t>Status</t>
  </si>
  <si>
    <r>
      <rPr>
        <b/>
        <i/>
        <sz val="12"/>
        <color theme="1"/>
        <rFont val="Times New Roman"/>
        <family val="1"/>
      </rPr>
      <t>x</t>
    </r>
    <r>
      <rPr>
        <b/>
        <vertAlign val="superscript"/>
        <sz val="12"/>
        <color theme="1"/>
        <rFont val="Times New Roman"/>
        <family val="1"/>
      </rPr>
      <t>(0)</t>
    </r>
    <r>
      <rPr>
        <b/>
        <sz val="12"/>
        <color theme="1"/>
        <rFont val="Times New Roman"/>
        <family val="1"/>
      </rPr>
      <t>=</t>
    </r>
  </si>
  <si>
    <t>Click on Cell D13 and press ENTER to start procedure</t>
  </si>
  <si>
    <r>
      <t xml:space="preserve">NEWTON-RAPHSON METHOD FOR  </t>
    </r>
    <r>
      <rPr>
        <b/>
        <i/>
        <sz val="14"/>
        <color indexed="8"/>
        <rFont val="Times New Roman"/>
        <family val="1"/>
      </rPr>
      <t xml:space="preserve"> f</t>
    </r>
    <r>
      <rPr>
        <b/>
        <sz val="14"/>
        <color indexed="8"/>
        <rFont val="Times New Roman"/>
        <family val="1"/>
      </rPr>
      <t>(</t>
    </r>
    <r>
      <rPr>
        <b/>
        <i/>
        <sz val="14"/>
        <color indexed="8"/>
        <rFont val="Times New Roman"/>
        <family val="1"/>
      </rPr>
      <t>x</t>
    </r>
    <r>
      <rPr>
        <b/>
        <sz val="14"/>
        <color indexed="8"/>
        <rFont val="Times New Roman"/>
        <family val="1"/>
      </rPr>
      <t>)=0</t>
    </r>
  </si>
  <si>
    <t>Convergence Rate</t>
  </si>
  <si>
    <t xml:space="preserve"> </t>
  </si>
  <si>
    <t>p</t>
  </si>
  <si>
    <r>
      <t>x</t>
    </r>
    <r>
      <rPr>
        <b/>
        <vertAlign val="superscript"/>
        <sz val="12"/>
        <color theme="1"/>
        <rFont val="Times New Roman"/>
        <family val="1"/>
        <charset val="162"/>
      </rPr>
      <t>(</t>
    </r>
    <r>
      <rPr>
        <b/>
        <i/>
        <vertAlign val="superscript"/>
        <sz val="12"/>
        <color theme="1"/>
        <rFont val="Times New Roman"/>
        <family val="1"/>
        <charset val="162"/>
      </rPr>
      <t>p</t>
    </r>
    <r>
      <rPr>
        <b/>
        <vertAlign val="superscript"/>
        <sz val="12"/>
        <color theme="1"/>
        <rFont val="Times New Roman"/>
        <family val="1"/>
        <charset val="162"/>
      </rPr>
      <t>)</t>
    </r>
  </si>
  <si>
    <r>
      <t>f</t>
    </r>
    <r>
      <rPr>
        <b/>
        <sz val="12"/>
        <color indexed="8"/>
        <rFont val="Times New Roman"/>
        <family val="1"/>
      </rPr>
      <t>(</t>
    </r>
    <r>
      <rPr>
        <b/>
        <sz val="5"/>
        <color indexed="8"/>
        <rFont val="Times New Roman"/>
        <family val="1"/>
        <charset val="162"/>
      </rPr>
      <t xml:space="preserve"> </t>
    </r>
    <r>
      <rPr>
        <b/>
        <i/>
        <sz val="12"/>
        <color indexed="8"/>
        <rFont val="Times New Roman"/>
        <family val="1"/>
        <charset val="162"/>
      </rPr>
      <t>x</t>
    </r>
    <r>
      <rPr>
        <b/>
        <vertAlign val="superscript"/>
        <sz val="12"/>
        <color indexed="8"/>
        <rFont val="Times New Roman"/>
        <family val="1"/>
        <charset val="162"/>
      </rPr>
      <t>(</t>
    </r>
    <r>
      <rPr>
        <b/>
        <i/>
        <vertAlign val="superscript"/>
        <sz val="12"/>
        <color indexed="8"/>
        <rFont val="Times New Roman"/>
        <family val="1"/>
        <charset val="162"/>
      </rPr>
      <t>p</t>
    </r>
    <r>
      <rPr>
        <b/>
        <vertAlign val="superscript"/>
        <sz val="12"/>
        <color indexed="8"/>
        <rFont val="Times New Roman"/>
        <family val="1"/>
        <charset val="162"/>
      </rPr>
      <t>)</t>
    </r>
    <r>
      <rPr>
        <b/>
        <sz val="12"/>
        <color indexed="8"/>
        <rFont val="Times New Roman"/>
        <family val="1"/>
      </rPr>
      <t>)</t>
    </r>
  </si>
  <si>
    <r>
      <t>f '</t>
    </r>
    <r>
      <rPr>
        <b/>
        <sz val="12"/>
        <color indexed="8"/>
        <rFont val="Times New Roman"/>
        <family val="1"/>
      </rPr>
      <t>(</t>
    </r>
    <r>
      <rPr>
        <b/>
        <sz val="5"/>
        <color indexed="8"/>
        <rFont val="Times New Roman"/>
        <family val="1"/>
        <charset val="162"/>
      </rPr>
      <t xml:space="preserve"> </t>
    </r>
    <r>
      <rPr>
        <b/>
        <i/>
        <sz val="12"/>
        <color indexed="8"/>
        <rFont val="Times New Roman"/>
        <family val="1"/>
        <charset val="162"/>
      </rPr>
      <t>x</t>
    </r>
    <r>
      <rPr>
        <b/>
        <vertAlign val="superscript"/>
        <sz val="12"/>
        <color indexed="8"/>
        <rFont val="Times New Roman"/>
        <family val="1"/>
        <charset val="162"/>
      </rPr>
      <t>(</t>
    </r>
    <r>
      <rPr>
        <b/>
        <i/>
        <vertAlign val="superscript"/>
        <sz val="12"/>
        <color indexed="8"/>
        <rFont val="Times New Roman"/>
        <family val="1"/>
        <charset val="162"/>
      </rPr>
      <t>p</t>
    </r>
    <r>
      <rPr>
        <b/>
        <vertAlign val="superscript"/>
        <sz val="12"/>
        <color indexed="8"/>
        <rFont val="Times New Roman"/>
        <family val="1"/>
        <charset val="162"/>
      </rPr>
      <t>)</t>
    </r>
    <r>
      <rPr>
        <b/>
        <sz val="12"/>
        <color indexed="8"/>
        <rFont val="Times New Roman"/>
        <family val="1"/>
      </rPr>
      <t>)</t>
    </r>
  </si>
  <si>
    <r>
      <rPr>
        <b/>
        <sz val="12"/>
        <color theme="1"/>
        <rFont val="Symbol"/>
        <family val="1"/>
        <charset val="2"/>
      </rPr>
      <t>½</t>
    </r>
    <r>
      <rPr>
        <b/>
        <i/>
        <sz val="12"/>
        <color indexed="8"/>
        <rFont val="Times New Roman"/>
        <family val="1"/>
      </rPr>
      <t>x</t>
    </r>
    <r>
      <rPr>
        <vertAlign val="superscript"/>
        <sz val="12"/>
        <color indexed="8"/>
        <rFont val="Times New Roman"/>
        <family val="1"/>
        <charset val="162"/>
      </rPr>
      <t>(</t>
    </r>
    <r>
      <rPr>
        <i/>
        <vertAlign val="superscript"/>
        <sz val="12"/>
        <color indexed="8"/>
        <rFont val="Times New Roman"/>
        <family val="1"/>
      </rPr>
      <t>p+1</t>
    </r>
    <r>
      <rPr>
        <vertAlign val="superscript"/>
        <sz val="12"/>
        <color indexed="8"/>
        <rFont val="Times New Roman"/>
        <family val="1"/>
        <charset val="162"/>
      </rPr>
      <t>)</t>
    </r>
    <r>
      <rPr>
        <b/>
        <i/>
        <sz val="12"/>
        <color indexed="8"/>
        <rFont val="Times New Roman"/>
        <family val="1"/>
      </rPr>
      <t>-x</t>
    </r>
    <r>
      <rPr>
        <vertAlign val="superscript"/>
        <sz val="12"/>
        <color indexed="8"/>
        <rFont val="Times New Roman"/>
        <family val="1"/>
        <charset val="162"/>
      </rPr>
      <t>(</t>
    </r>
    <r>
      <rPr>
        <i/>
        <vertAlign val="superscript"/>
        <sz val="12"/>
        <color indexed="8"/>
        <rFont val="Times New Roman"/>
        <family val="1"/>
      </rPr>
      <t>p</t>
    </r>
    <r>
      <rPr>
        <vertAlign val="superscript"/>
        <sz val="12"/>
        <color indexed="8"/>
        <rFont val="Times New Roman"/>
        <family val="1"/>
        <charset val="162"/>
      </rPr>
      <t>)</t>
    </r>
    <r>
      <rPr>
        <b/>
        <sz val="12"/>
        <color indexed="8"/>
        <rFont val="Symbol"/>
        <family val="1"/>
        <charset val="2"/>
      </rPr>
      <t>½</t>
    </r>
  </si>
  <si>
    <r>
      <rPr>
        <b/>
        <i/>
        <sz val="13"/>
        <color theme="1"/>
        <rFont val="Times New Roman"/>
        <family val="1"/>
      </rPr>
      <t>f</t>
    </r>
    <r>
      <rPr>
        <b/>
        <sz val="13"/>
        <color theme="1"/>
        <rFont val="Times New Roman"/>
        <family val="1"/>
      </rPr>
      <t>(</t>
    </r>
    <r>
      <rPr>
        <b/>
        <i/>
        <sz val="13"/>
        <color theme="1"/>
        <rFont val="Times New Roman"/>
        <family val="1"/>
      </rPr>
      <t>x</t>
    </r>
    <r>
      <rPr>
        <b/>
        <sz val="13"/>
        <color theme="1"/>
        <rFont val="Times New Roman"/>
        <family val="1"/>
      </rPr>
      <t xml:space="preserve">) </t>
    </r>
    <r>
      <rPr>
        <sz val="13"/>
        <color theme="1"/>
        <rFont val="Times New Roman"/>
        <family val="1"/>
      </rPr>
      <t xml:space="preserve">is defined as </t>
    </r>
    <r>
      <rPr>
        <b/>
        <sz val="13"/>
        <color theme="1"/>
        <rFont val="Times New Roman"/>
        <family val="1"/>
      </rPr>
      <t>func(</t>
    </r>
    <r>
      <rPr>
        <b/>
        <i/>
        <sz val="13"/>
        <color theme="1"/>
        <rFont val="Times New Roman"/>
        <family val="1"/>
      </rPr>
      <t>x</t>
    </r>
    <r>
      <rPr>
        <b/>
        <sz val="13"/>
        <color theme="1"/>
        <rFont val="Times New Roman"/>
        <family val="1"/>
      </rPr>
      <t>)</t>
    </r>
    <r>
      <rPr>
        <sz val="13"/>
        <color theme="1"/>
        <rFont val="Times New Roman"/>
        <family val="1"/>
      </rPr>
      <t xml:space="preserve">, and </t>
    </r>
    <r>
      <rPr>
        <i/>
        <sz val="13"/>
        <color theme="1"/>
        <rFont val="Times New Roman"/>
        <family val="1"/>
      </rPr>
      <t>f</t>
    </r>
    <r>
      <rPr>
        <sz val="13"/>
        <color theme="1"/>
        <rFont val="Times New Roman"/>
        <family val="1"/>
      </rPr>
      <t>'(</t>
    </r>
    <r>
      <rPr>
        <i/>
        <sz val="13"/>
        <color theme="1"/>
        <rFont val="Times New Roman"/>
        <family val="1"/>
      </rPr>
      <t>x</t>
    </r>
    <r>
      <rPr>
        <sz val="13"/>
        <color theme="1"/>
        <rFont val="Times New Roman"/>
        <family val="1"/>
      </rPr>
      <t xml:space="preserve">) is defined as </t>
    </r>
    <r>
      <rPr>
        <b/>
        <sz val="13"/>
        <color theme="1"/>
        <rFont val="Times New Roman"/>
        <family val="1"/>
      </rPr>
      <t>funcp(</t>
    </r>
    <r>
      <rPr>
        <b/>
        <i/>
        <sz val="13"/>
        <color theme="1"/>
        <rFont val="Times New Roman"/>
        <family val="1"/>
      </rPr>
      <t>x</t>
    </r>
    <r>
      <rPr>
        <b/>
        <sz val="13"/>
        <color theme="1"/>
        <rFont val="Times New Roman"/>
        <family val="1"/>
      </rPr>
      <t>)</t>
    </r>
    <r>
      <rPr>
        <sz val="13"/>
        <color theme="1"/>
        <rFont val="Times New Roman"/>
        <family val="1"/>
      </rPr>
      <t>.</t>
    </r>
  </si>
  <si>
    <r>
      <t xml:space="preserve">To change the nonlinear equation, press </t>
    </r>
    <r>
      <rPr>
        <b/>
        <sz val="13"/>
        <color theme="1"/>
        <rFont val="Times New Roman"/>
        <family val="1"/>
      </rPr>
      <t>ALT+ F11</t>
    </r>
  </si>
  <si>
    <r>
      <t>f</t>
    </r>
    <r>
      <rPr>
        <b/>
        <i/>
        <sz val="1"/>
        <color theme="1"/>
        <rFont val="Times New Roman"/>
        <family val="1"/>
      </rPr>
      <t xml:space="preserve"> </t>
    </r>
    <r>
      <rPr>
        <b/>
        <i/>
        <sz val="12"/>
        <color theme="1"/>
        <rFont val="Times New Roman"/>
        <family val="1"/>
      </rPr>
      <t>'</t>
    </r>
    <r>
      <rPr>
        <b/>
        <sz val="12"/>
        <color theme="1"/>
        <rFont val="Times New Roman"/>
        <family val="1"/>
        <charset val="162"/>
      </rPr>
      <t>(</t>
    </r>
    <r>
      <rPr>
        <b/>
        <sz val="5"/>
        <color theme="1"/>
        <rFont val="Times New Roman"/>
        <family val="1"/>
        <charset val="162"/>
      </rPr>
      <t xml:space="preserve"> </t>
    </r>
    <r>
      <rPr>
        <b/>
        <i/>
        <sz val="12"/>
        <color theme="1"/>
        <rFont val="Times New Roman"/>
        <family val="1"/>
      </rPr>
      <t>x</t>
    </r>
    <r>
      <rPr>
        <b/>
        <vertAlign val="superscript"/>
        <sz val="12"/>
        <color theme="1"/>
        <rFont val="Times New Roman"/>
        <family val="1"/>
        <charset val="162"/>
      </rPr>
      <t>(</t>
    </r>
    <r>
      <rPr>
        <b/>
        <i/>
        <vertAlign val="superscript"/>
        <sz val="12"/>
        <color theme="1"/>
        <rFont val="Times New Roman"/>
        <family val="1"/>
        <charset val="162"/>
      </rPr>
      <t>p</t>
    </r>
    <r>
      <rPr>
        <b/>
        <vertAlign val="superscript"/>
        <sz val="12"/>
        <color theme="1"/>
        <rFont val="Times New Roman"/>
        <family val="1"/>
        <charset val="162"/>
      </rPr>
      <t>)</t>
    </r>
    <r>
      <rPr>
        <b/>
        <sz val="12"/>
        <color theme="1"/>
        <rFont val="Times New Roman"/>
        <family val="1"/>
        <charset val="162"/>
      </rPr>
      <t xml:space="preserve">) </t>
    </r>
    <r>
      <rPr>
        <b/>
        <i/>
        <sz val="12"/>
        <color theme="1"/>
        <rFont val="Times New Roman"/>
        <family val="1"/>
      </rPr>
      <t>/ f '</t>
    </r>
    <r>
      <rPr>
        <b/>
        <sz val="12"/>
        <color indexed="8"/>
        <rFont val="Times New Roman"/>
        <family val="1"/>
      </rPr>
      <t>(</t>
    </r>
    <r>
      <rPr>
        <b/>
        <sz val="5"/>
        <color indexed="8"/>
        <rFont val="Times New Roman"/>
        <family val="1"/>
        <charset val="162"/>
      </rPr>
      <t xml:space="preserve"> </t>
    </r>
    <r>
      <rPr>
        <b/>
        <i/>
        <sz val="12"/>
        <color indexed="8"/>
        <rFont val="Times New Roman"/>
        <family val="1"/>
        <charset val="162"/>
      </rPr>
      <t>x</t>
    </r>
    <r>
      <rPr>
        <b/>
        <vertAlign val="superscript"/>
        <sz val="12"/>
        <color indexed="8"/>
        <rFont val="Times New Roman"/>
        <family val="1"/>
        <charset val="162"/>
      </rPr>
      <t>(</t>
    </r>
    <r>
      <rPr>
        <b/>
        <i/>
        <vertAlign val="superscript"/>
        <sz val="12"/>
        <color indexed="8"/>
        <rFont val="Times New Roman"/>
        <family val="1"/>
        <charset val="162"/>
      </rPr>
      <t>p</t>
    </r>
    <r>
      <rPr>
        <b/>
        <vertAlign val="superscript"/>
        <sz val="12"/>
        <color indexed="8"/>
        <rFont val="Times New Roman"/>
        <family val="1"/>
        <charset val="162"/>
      </rPr>
      <t>)</t>
    </r>
    <r>
      <rPr>
        <b/>
        <sz val="12"/>
        <color indexed="8"/>
        <rFont val="Times New Roman"/>
        <family val="1"/>
      </rPr>
      <t>)</t>
    </r>
  </si>
  <si>
    <r>
      <rPr>
        <b/>
        <sz val="12"/>
        <color theme="1"/>
        <rFont val="Symbol"/>
        <family val="1"/>
        <charset val="2"/>
      </rPr>
      <t>½</t>
    </r>
    <r>
      <rPr>
        <b/>
        <i/>
        <sz val="12"/>
        <color indexed="8"/>
        <rFont val="Times New Roman"/>
        <family val="1"/>
      </rPr>
      <t>x</t>
    </r>
    <r>
      <rPr>
        <vertAlign val="superscript"/>
        <sz val="12"/>
        <color indexed="8"/>
        <rFont val="Times New Roman"/>
        <family val="1"/>
        <charset val="162"/>
      </rPr>
      <t>(</t>
    </r>
    <r>
      <rPr>
        <i/>
        <vertAlign val="superscript"/>
        <sz val="12"/>
        <color indexed="8"/>
        <rFont val="Times New Roman"/>
        <family val="1"/>
      </rPr>
      <t>p+1</t>
    </r>
    <r>
      <rPr>
        <vertAlign val="superscript"/>
        <sz val="12"/>
        <color indexed="8"/>
        <rFont val="Times New Roman"/>
        <family val="1"/>
        <charset val="162"/>
      </rPr>
      <t>)</t>
    </r>
    <r>
      <rPr>
        <b/>
        <sz val="12"/>
        <color indexed="8"/>
        <rFont val="Symbol"/>
        <family val="1"/>
        <charset val="2"/>
      </rPr>
      <t>-</t>
    </r>
    <r>
      <rPr>
        <b/>
        <sz val="1"/>
        <color indexed="8"/>
        <rFont val="Symbol"/>
        <family val="1"/>
        <charset val="2"/>
      </rPr>
      <t xml:space="preserve"> </t>
    </r>
    <r>
      <rPr>
        <b/>
        <i/>
        <sz val="12"/>
        <color indexed="8"/>
        <rFont val="Times New Roman"/>
        <family val="1"/>
      </rPr>
      <t>x</t>
    </r>
    <r>
      <rPr>
        <vertAlign val="superscript"/>
        <sz val="12"/>
        <color indexed="8"/>
        <rFont val="Times New Roman"/>
        <family val="1"/>
        <charset val="162"/>
      </rPr>
      <t>(</t>
    </r>
    <r>
      <rPr>
        <i/>
        <vertAlign val="superscript"/>
        <sz val="12"/>
        <color indexed="8"/>
        <rFont val="Times New Roman"/>
        <family val="1"/>
      </rPr>
      <t>p</t>
    </r>
    <r>
      <rPr>
        <vertAlign val="superscript"/>
        <sz val="12"/>
        <color indexed="8"/>
        <rFont val="Times New Roman"/>
        <family val="1"/>
        <charset val="162"/>
      </rPr>
      <t>)</t>
    </r>
    <r>
      <rPr>
        <b/>
        <sz val="12"/>
        <color indexed="8"/>
        <rFont val="Symbol"/>
        <family val="1"/>
        <charset val="2"/>
      </rPr>
      <t>½</t>
    </r>
  </si>
  <si>
    <r>
      <t>f</t>
    </r>
    <r>
      <rPr>
        <b/>
        <i/>
        <sz val="2"/>
        <color theme="1"/>
        <rFont val="Times New Roman"/>
        <family val="1"/>
      </rPr>
      <t xml:space="preserve"> </t>
    </r>
    <r>
      <rPr>
        <b/>
        <sz val="12"/>
        <color theme="1"/>
        <rFont val="Times New Roman"/>
        <family val="1"/>
        <charset val="162"/>
      </rPr>
      <t>(</t>
    </r>
    <r>
      <rPr>
        <b/>
        <sz val="5"/>
        <color theme="1"/>
        <rFont val="Times New Roman"/>
        <family val="1"/>
        <charset val="162"/>
      </rPr>
      <t xml:space="preserve"> </t>
    </r>
    <r>
      <rPr>
        <b/>
        <i/>
        <sz val="12"/>
        <color theme="1"/>
        <rFont val="Times New Roman"/>
        <family val="1"/>
      </rPr>
      <t>x</t>
    </r>
    <r>
      <rPr>
        <b/>
        <vertAlign val="superscript"/>
        <sz val="12"/>
        <color theme="1"/>
        <rFont val="Times New Roman"/>
        <family val="1"/>
        <charset val="162"/>
      </rPr>
      <t>(</t>
    </r>
    <r>
      <rPr>
        <b/>
        <i/>
        <vertAlign val="superscript"/>
        <sz val="12"/>
        <color theme="1"/>
        <rFont val="Times New Roman"/>
        <family val="1"/>
        <charset val="162"/>
      </rPr>
      <t>p</t>
    </r>
    <r>
      <rPr>
        <b/>
        <vertAlign val="superscript"/>
        <sz val="12"/>
        <color theme="1"/>
        <rFont val="Times New Roman"/>
        <family val="1"/>
        <charset val="162"/>
      </rPr>
      <t>)</t>
    </r>
    <r>
      <rPr>
        <b/>
        <sz val="12"/>
        <color theme="1"/>
        <rFont val="Times New Roman"/>
        <family val="1"/>
        <charset val="162"/>
      </rPr>
      <t xml:space="preserve">) </t>
    </r>
    <r>
      <rPr>
        <b/>
        <i/>
        <sz val="12"/>
        <color theme="1"/>
        <rFont val="Times New Roman"/>
        <family val="1"/>
      </rPr>
      <t>/ f '</t>
    </r>
    <r>
      <rPr>
        <b/>
        <sz val="12"/>
        <color indexed="8"/>
        <rFont val="Times New Roman"/>
        <family val="1"/>
      </rPr>
      <t>(</t>
    </r>
    <r>
      <rPr>
        <b/>
        <sz val="5"/>
        <color indexed="8"/>
        <rFont val="Times New Roman"/>
        <family val="1"/>
        <charset val="162"/>
      </rPr>
      <t xml:space="preserve"> </t>
    </r>
    <r>
      <rPr>
        <b/>
        <i/>
        <sz val="12"/>
        <color indexed="8"/>
        <rFont val="Times New Roman"/>
        <family val="1"/>
        <charset val="162"/>
      </rPr>
      <t>x</t>
    </r>
    <r>
      <rPr>
        <b/>
        <vertAlign val="superscript"/>
        <sz val="12"/>
        <color indexed="8"/>
        <rFont val="Times New Roman"/>
        <family val="1"/>
        <charset val="162"/>
      </rPr>
      <t>(</t>
    </r>
    <r>
      <rPr>
        <b/>
        <i/>
        <vertAlign val="superscript"/>
        <sz val="12"/>
        <color indexed="8"/>
        <rFont val="Times New Roman"/>
        <family val="1"/>
        <charset val="162"/>
      </rPr>
      <t>p</t>
    </r>
    <r>
      <rPr>
        <b/>
        <vertAlign val="superscript"/>
        <sz val="12"/>
        <color indexed="8"/>
        <rFont val="Times New Roman"/>
        <family val="1"/>
        <charset val="162"/>
      </rPr>
      <t>)</t>
    </r>
    <r>
      <rPr>
        <b/>
        <sz val="12"/>
        <color indexed="8"/>
        <rFont val="Times New Roman"/>
        <family val="1"/>
      </rPr>
      <t>)</t>
    </r>
  </si>
  <si>
    <t>'  ==================================================================================</t>
  </si>
  <si>
    <t xml:space="preserve">'  CODE4.3-NEWTON_RAPHSON.BAS. A Basic (VB) Subprogram implementing Pseudocode 4.3.                      </t>
  </si>
  <si>
    <t xml:space="preserve">' </t>
  </si>
  <si>
    <t>'  NUMERICAL METHODS FOR SCIENTISTS AND ENGINEERS: WITH PSEUDOCODES</t>
  </si>
  <si>
    <t>'  First Edition. (c) By Zekeriya ALTAÇ (2024).</t>
  </si>
  <si>
    <t>'  ISBN: 978-1-032-75474-1 (hbk)</t>
  </si>
  <si>
    <t>'  ISBN: 978-1-032-75642-4 (pbk)</t>
  </si>
  <si>
    <t>'  ISBN: 978-1-003-47494-4 (ebk)</t>
  </si>
  <si>
    <t xml:space="preserve">'  </t>
  </si>
  <si>
    <t>'  DOI : 10.1201/9781003474944</t>
  </si>
  <si>
    <t>'  C&amp;H/CRC PRESS, Boca Raton, FL, USA &amp; London, UK.</t>
  </si>
  <si>
    <t>'  This free software is complimented by the author to accompany the textbook.</t>
  </si>
  <si>
    <t>'  E-mail: altacz@gmail.com.</t>
  </si>
  <si>
    <t xml:space="preserve">'  DESCRIPTION: A Visual Basic module to compute a root of a nonlinear equation using the                   </t>
  </si>
  <si>
    <t xml:space="preserve">'    Newton-Raphson method.                                                                    </t>
  </si>
  <si>
    <t xml:space="preserve">'                                                                                              </t>
  </si>
  <si>
    <t xml:space="preserve">'  ON ENTRY                                                                                    </t>
  </si>
  <si>
    <t xml:space="preserve">'    root  :: Initial guess for the root;                                                      </t>
  </si>
  <si>
    <t xml:space="preserve">'    maxit :: Maximum number of iterations permitted;                                          </t>
  </si>
  <si>
    <t xml:space="preserve">'    eps   :: Convergence tolerance.                                                           </t>
  </si>
  <si>
    <t xml:space="preserve">'  ON EXIT                                                                                     </t>
  </si>
  <si>
    <t xml:space="preserve">'    iter  :: Number of iterations realized;                                                   </t>
  </si>
  <si>
    <t xml:space="preserve">'    root  :: Computed approximation for the root.                                             </t>
  </si>
  <si>
    <t xml:space="preserve">'  USES                                                                                        </t>
  </si>
  <si>
    <t xml:space="preserve">'    ABS   :: Built-in Intrinsic function returning the absolute value of a real value;        </t>
  </si>
  <si>
    <t xml:space="preserve">'  ALSO REQUIRED                                                                               </t>
  </si>
  <si>
    <t xml:space="preserve">'    FUNC  :: User-defined external function providing the nonlinear equation, f(x).           </t>
  </si>
  <si>
    <t xml:space="preserve">'    FUNCP :: User-defined external function providing the first derivative                    </t>
  </si>
  <si>
    <t xml:space="preserve">'             of the nonlinear equation, f'(x).                                                </t>
  </si>
  <si>
    <t xml:space="preserve">'  REVISION DATE :: 11/20/2024                                                                 </t>
  </si>
  <si>
    <t xml:space="preserve">'  ==================================================================================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</si>
</sst>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0000000000000000"/>
    <numFmt numFmtId="165" formatCode="0.00000000"/>
    <numFmt numFmtId="166" formatCode="0.000000"/>
    <numFmt numFmtId="167" formatCode="0.000E+00"/>
    <numFmt numFmtId="168" formatCode="0.0000000"/>
  </numFmts>
  <fonts count="33" x14ac:knownFonts="1">
    <font>
      <sz val="11"/>
      <color theme="1"/>
      <name val="Calibri"/>
      <family val="2"/>
      <charset val="162"/>
      <scheme val="minor"/>
    </font>
    <font>
      <b/>
      <sz val="14"/>
      <color indexed="8"/>
      <name val="Times New Roman"/>
      <family val="1"/>
    </font>
    <font>
      <b/>
      <i/>
      <sz val="14"/>
      <color indexed="8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i/>
      <sz val="12"/>
      <color indexed="8"/>
      <name val="Times New Roman"/>
      <family val="1"/>
    </font>
    <font>
      <b/>
      <sz val="12"/>
      <color indexed="8"/>
      <name val="Times New Roman"/>
      <family val="1"/>
    </font>
    <font>
      <b/>
      <i/>
      <sz val="12"/>
      <color theme="1"/>
      <name val="Times New Roman"/>
      <family val="1"/>
    </font>
    <font>
      <i/>
      <vertAlign val="superscript"/>
      <sz val="12"/>
      <color indexed="8"/>
      <name val="Times New Roman"/>
      <family val="1"/>
    </font>
    <font>
      <sz val="12"/>
      <name val="Times New Roman"/>
      <family val="1"/>
    </font>
    <font>
      <b/>
      <sz val="12"/>
      <color theme="1"/>
      <name val="Symbol"/>
      <family val="1"/>
      <charset val="2"/>
    </font>
    <font>
      <b/>
      <vertAlign val="superscript"/>
      <sz val="12"/>
      <color theme="1"/>
      <name val="Times New Roman"/>
      <family val="1"/>
    </font>
    <font>
      <sz val="13"/>
      <color theme="1"/>
      <name val="Times New Roman"/>
      <family val="1"/>
    </font>
    <font>
      <i/>
      <sz val="13"/>
      <color theme="1"/>
      <name val="Times New Roman"/>
      <family val="1"/>
    </font>
    <font>
      <b/>
      <sz val="14"/>
      <color theme="1"/>
      <name val="Times New Roman"/>
      <family val="1"/>
    </font>
    <font>
      <b/>
      <sz val="12"/>
      <color indexed="8"/>
      <name val="Symbol"/>
      <family val="1"/>
      <charset val="2"/>
    </font>
    <font>
      <i/>
      <sz val="12"/>
      <color theme="1"/>
      <name val="Times New Roman"/>
      <family val="1"/>
      <charset val="162"/>
    </font>
    <font>
      <b/>
      <sz val="12"/>
      <color theme="1"/>
      <name val="Times New Roman"/>
      <family val="1"/>
      <charset val="162"/>
    </font>
    <font>
      <b/>
      <vertAlign val="superscript"/>
      <sz val="12"/>
      <color theme="1"/>
      <name val="Times New Roman"/>
      <family val="1"/>
      <charset val="162"/>
    </font>
    <font>
      <b/>
      <i/>
      <vertAlign val="superscript"/>
      <sz val="12"/>
      <color theme="1"/>
      <name val="Times New Roman"/>
      <family val="1"/>
      <charset val="162"/>
    </font>
    <font>
      <b/>
      <vertAlign val="superscript"/>
      <sz val="12"/>
      <color indexed="8"/>
      <name val="Times New Roman"/>
      <family val="1"/>
      <charset val="162"/>
    </font>
    <font>
      <b/>
      <i/>
      <vertAlign val="superscript"/>
      <sz val="12"/>
      <color indexed="8"/>
      <name val="Times New Roman"/>
      <family val="1"/>
      <charset val="162"/>
    </font>
    <font>
      <b/>
      <i/>
      <sz val="12"/>
      <color indexed="8"/>
      <name val="Times New Roman"/>
      <family val="1"/>
      <charset val="162"/>
    </font>
    <font>
      <b/>
      <sz val="5"/>
      <color theme="1"/>
      <name val="Times New Roman"/>
      <family val="1"/>
      <charset val="162"/>
    </font>
    <font>
      <b/>
      <sz val="5"/>
      <color indexed="8"/>
      <name val="Times New Roman"/>
      <family val="1"/>
      <charset val="162"/>
    </font>
    <font>
      <vertAlign val="superscript"/>
      <sz val="12"/>
      <color indexed="8"/>
      <name val="Times New Roman"/>
      <family val="1"/>
      <charset val="162"/>
    </font>
    <font>
      <b/>
      <sz val="12"/>
      <color rgb="FF000000"/>
      <name val="Arial"/>
      <family val="2"/>
    </font>
    <font>
      <b/>
      <sz val="11"/>
      <color rgb="FF000000"/>
      <name val="Arial"/>
      <family val="2"/>
    </font>
    <font>
      <b/>
      <i/>
      <sz val="13"/>
      <color theme="1"/>
      <name val="Times New Roman"/>
      <family val="1"/>
    </font>
    <font>
      <b/>
      <sz val="13"/>
      <color theme="1"/>
      <name val="Times New Roman"/>
      <family val="1"/>
    </font>
    <font>
      <b/>
      <i/>
      <sz val="1"/>
      <color theme="1"/>
      <name val="Times New Roman"/>
      <family val="1"/>
    </font>
    <font>
      <b/>
      <sz val="1"/>
      <color indexed="8"/>
      <name val="Symbol"/>
      <family val="1"/>
      <charset val="2"/>
    </font>
    <font>
      <b/>
      <i/>
      <sz val="2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3" fillId="0" borderId="0" xfId="0" applyFont="1"/>
    <xf numFmtId="164" fontId="4" fillId="0" borderId="0" xfId="0" applyNumberFormat="1" applyFont="1"/>
    <xf numFmtId="0" fontId="3" fillId="0" borderId="0" xfId="0" applyFont="1" applyAlignment="1">
      <alignment horizontal="center" vertical="center"/>
    </xf>
    <xf numFmtId="0" fontId="3" fillId="0" borderId="0" xfId="0" applyFont="1" applyBorder="1"/>
    <xf numFmtId="11" fontId="3" fillId="0" borderId="0" xfId="0" applyNumberFormat="1" applyFont="1" applyBorder="1" applyAlignment="1">
      <alignment horizontal="left" vertical="center"/>
    </xf>
    <xf numFmtId="0" fontId="7" fillId="0" borderId="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6" fontId="3" fillId="0" borderId="1" xfId="0" applyNumberFormat="1" applyFont="1" applyBorder="1" applyAlignment="1">
      <alignment horizontal="center" vertical="center"/>
    </xf>
    <xf numFmtId="165" fontId="3" fillId="0" borderId="1" xfId="0" applyNumberFormat="1" applyFont="1" applyBorder="1" applyAlignment="1">
      <alignment horizontal="center" vertical="center"/>
    </xf>
    <xf numFmtId="164" fontId="3" fillId="0" borderId="0" xfId="0" applyNumberFormat="1" applyFont="1"/>
    <xf numFmtId="167" fontId="3" fillId="0" borderId="1" xfId="0" applyNumberFormat="1" applyFont="1" applyBorder="1" applyAlignment="1">
      <alignment horizontal="center" vertical="center"/>
    </xf>
    <xf numFmtId="168" fontId="9" fillId="0" borderId="2" xfId="0" applyNumberFormat="1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164" fontId="7" fillId="0" borderId="3" xfId="0" applyNumberFormat="1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66" fontId="3" fillId="3" borderId="2" xfId="0" applyNumberFormat="1" applyFont="1" applyFill="1" applyBorder="1" applyAlignment="1">
      <alignment horizontal="center" vertical="center"/>
    </xf>
    <xf numFmtId="11" fontId="3" fillId="3" borderId="0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right" vertical="center"/>
    </xf>
    <xf numFmtId="0" fontId="4" fillId="0" borderId="0" xfId="0" applyFont="1" applyAlignment="1">
      <alignment horizontal="right" vertical="center"/>
    </xf>
    <xf numFmtId="164" fontId="12" fillId="0" borderId="0" xfId="0" applyNumberFormat="1" applyFont="1"/>
    <xf numFmtId="0" fontId="4" fillId="0" borderId="3" xfId="0" applyFont="1" applyBorder="1" applyAlignment="1">
      <alignment horizontal="right" vertical="center"/>
    </xf>
    <xf numFmtId="2" fontId="3" fillId="3" borderId="3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164" fontId="14" fillId="0" borderId="0" xfId="0" applyNumberFormat="1" applyFont="1"/>
    <xf numFmtId="0" fontId="4" fillId="2" borderId="0" xfId="0" applyFont="1" applyFill="1" applyAlignment="1">
      <alignment horizontal="left" vertical="center"/>
    </xf>
    <xf numFmtId="0" fontId="3" fillId="2" borderId="0" xfId="0" applyFont="1" applyFill="1" applyBorder="1"/>
    <xf numFmtId="168" fontId="3" fillId="0" borderId="2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167" fontId="9" fillId="0" borderId="2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66" fontId="3" fillId="3" borderId="0" xfId="0" applyNumberFormat="1" applyFont="1" applyFill="1" applyBorder="1" applyAlignment="1">
      <alignment horizontal="center" vertical="center"/>
    </xf>
    <xf numFmtId="168" fontId="9" fillId="0" borderId="0" xfId="0" applyNumberFormat="1" applyFont="1" applyBorder="1" applyAlignment="1">
      <alignment horizontal="center" vertical="center"/>
    </xf>
    <xf numFmtId="168" fontId="3" fillId="0" borderId="0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165" fontId="3" fillId="0" borderId="0" xfId="0" applyNumberFormat="1" applyFont="1" applyBorder="1" applyAlignment="1">
      <alignment horizontal="center" vertical="center"/>
    </xf>
    <xf numFmtId="167" fontId="3" fillId="0" borderId="0" xfId="0" applyNumberFormat="1" applyFont="1" applyBorder="1" applyAlignment="1">
      <alignment horizontal="center" vertical="center"/>
    </xf>
    <xf numFmtId="167" fontId="9" fillId="0" borderId="0" xfId="0" applyNumberFormat="1" applyFont="1" applyBorder="1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3" fillId="4" borderId="0" xfId="0" applyFont="1" applyFill="1"/>
    <xf numFmtId="0" fontId="0" fillId="4" borderId="0" xfId="0" applyFill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2</xdr:row>
          <xdr:rowOff>152400</xdr:rowOff>
        </xdr:from>
        <xdr:to>
          <xdr:col>6</xdr:col>
          <xdr:colOff>57150</xdr:colOff>
          <xdr:row>4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180975</xdr:colOff>
          <xdr:row>2</xdr:row>
          <xdr:rowOff>152400</xdr:rowOff>
        </xdr:from>
        <xdr:to>
          <xdr:col>7</xdr:col>
          <xdr:colOff>171450</xdr:colOff>
          <xdr:row>4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7"/>
  <sheetViews>
    <sheetView showGridLines="0" tabSelected="1" workbookViewId="0">
      <selection activeCell="G7" sqref="G7"/>
    </sheetView>
  </sheetViews>
  <sheetFormatPr defaultRowHeight="15" x14ac:dyDescent="0.25"/>
  <cols>
    <col min="1" max="1" width="97.7109375" customWidth="1"/>
  </cols>
  <sheetData>
    <row r="1" spans="1:2" ht="15.75" x14ac:dyDescent="0.25">
      <c r="A1" s="40" t="s">
        <v>19</v>
      </c>
      <c r="B1" s="41"/>
    </row>
    <row r="2" spans="1:2" ht="15.75" x14ac:dyDescent="0.25">
      <c r="A2" s="40" t="s">
        <v>20</v>
      </c>
      <c r="B2" s="41"/>
    </row>
    <row r="3" spans="1:2" ht="15.75" x14ac:dyDescent="0.25">
      <c r="A3" s="40" t="s">
        <v>21</v>
      </c>
      <c r="B3" s="41"/>
    </row>
    <row r="4" spans="1:2" ht="15.75" x14ac:dyDescent="0.25">
      <c r="A4" s="40" t="s">
        <v>22</v>
      </c>
      <c r="B4" s="41"/>
    </row>
    <row r="5" spans="1:2" ht="15.75" x14ac:dyDescent="0.25">
      <c r="A5" s="40" t="s">
        <v>23</v>
      </c>
      <c r="B5" s="41"/>
    </row>
    <row r="6" spans="1:2" ht="15.75" x14ac:dyDescent="0.25">
      <c r="A6" s="40" t="s">
        <v>24</v>
      </c>
      <c r="B6" s="41"/>
    </row>
    <row r="7" spans="1:2" ht="15.75" x14ac:dyDescent="0.25">
      <c r="A7" s="40" t="s">
        <v>25</v>
      </c>
      <c r="B7" s="41"/>
    </row>
    <row r="8" spans="1:2" ht="15.75" x14ac:dyDescent="0.25">
      <c r="A8" s="40" t="s">
        <v>26</v>
      </c>
      <c r="B8" s="41"/>
    </row>
    <row r="9" spans="1:2" ht="15.75" x14ac:dyDescent="0.25">
      <c r="A9" s="40" t="s">
        <v>27</v>
      </c>
      <c r="B9" s="41"/>
    </row>
    <row r="10" spans="1:2" ht="15.75" x14ac:dyDescent="0.25">
      <c r="A10" s="40" t="s">
        <v>28</v>
      </c>
      <c r="B10" s="41"/>
    </row>
    <row r="11" spans="1:2" ht="15.75" x14ac:dyDescent="0.25">
      <c r="A11" s="40" t="s">
        <v>29</v>
      </c>
      <c r="B11" s="41"/>
    </row>
    <row r="12" spans="1:2" ht="15.75" x14ac:dyDescent="0.25">
      <c r="A12" s="40" t="s">
        <v>27</v>
      </c>
      <c r="B12" s="41"/>
    </row>
    <row r="13" spans="1:2" ht="15.75" x14ac:dyDescent="0.25">
      <c r="A13" s="40" t="s">
        <v>30</v>
      </c>
      <c r="B13" s="41"/>
    </row>
    <row r="14" spans="1:2" ht="15.75" x14ac:dyDescent="0.25">
      <c r="A14" s="40" t="s">
        <v>31</v>
      </c>
      <c r="B14" s="41"/>
    </row>
    <row r="15" spans="1:2" ht="15.75" x14ac:dyDescent="0.25">
      <c r="A15" s="40" t="s">
        <v>27</v>
      </c>
      <c r="B15" s="41"/>
    </row>
    <row r="16" spans="1:2" ht="15.75" x14ac:dyDescent="0.25">
      <c r="A16" s="40" t="s">
        <v>32</v>
      </c>
      <c r="B16" s="41"/>
    </row>
    <row r="17" spans="1:2" ht="15.75" x14ac:dyDescent="0.25">
      <c r="A17" s="40" t="s">
        <v>33</v>
      </c>
      <c r="B17" s="41"/>
    </row>
    <row r="18" spans="1:2" ht="15.75" x14ac:dyDescent="0.25">
      <c r="A18" s="40" t="s">
        <v>34</v>
      </c>
      <c r="B18" s="41"/>
    </row>
    <row r="19" spans="1:2" ht="15.75" x14ac:dyDescent="0.25">
      <c r="A19" s="40" t="s">
        <v>35</v>
      </c>
      <c r="B19" s="41"/>
    </row>
    <row r="20" spans="1:2" ht="15.75" x14ac:dyDescent="0.25">
      <c r="A20" s="40" t="s">
        <v>36</v>
      </c>
      <c r="B20" s="41"/>
    </row>
    <row r="21" spans="1:2" ht="15.75" x14ac:dyDescent="0.25">
      <c r="A21" s="40" t="s">
        <v>37</v>
      </c>
      <c r="B21" s="41"/>
    </row>
    <row r="22" spans="1:2" ht="15.75" x14ac:dyDescent="0.25">
      <c r="A22" s="40" t="s">
        <v>38</v>
      </c>
      <c r="B22" s="41"/>
    </row>
    <row r="23" spans="1:2" ht="15.75" x14ac:dyDescent="0.25">
      <c r="A23" s="40" t="s">
        <v>34</v>
      </c>
      <c r="B23" s="41"/>
    </row>
    <row r="24" spans="1:2" ht="15.75" x14ac:dyDescent="0.25">
      <c r="A24" s="40" t="s">
        <v>39</v>
      </c>
      <c r="B24" s="41"/>
    </row>
    <row r="25" spans="1:2" ht="15.75" x14ac:dyDescent="0.25">
      <c r="A25" s="40" t="s">
        <v>40</v>
      </c>
      <c r="B25" s="41"/>
    </row>
    <row r="26" spans="1:2" ht="15.75" x14ac:dyDescent="0.25">
      <c r="A26" s="40" t="s">
        <v>41</v>
      </c>
      <c r="B26" s="41"/>
    </row>
    <row r="27" spans="1:2" ht="15.75" x14ac:dyDescent="0.25">
      <c r="A27" s="40" t="s">
        <v>34</v>
      </c>
      <c r="B27" s="41"/>
    </row>
    <row r="28" spans="1:2" ht="15.75" x14ac:dyDescent="0.25">
      <c r="A28" s="40" t="s">
        <v>42</v>
      </c>
      <c r="B28" s="41"/>
    </row>
    <row r="29" spans="1:2" ht="15.75" x14ac:dyDescent="0.25">
      <c r="A29" s="40" t="s">
        <v>43</v>
      </c>
      <c r="B29" s="41"/>
    </row>
    <row r="30" spans="1:2" ht="15.75" x14ac:dyDescent="0.25">
      <c r="A30" s="40" t="s">
        <v>34</v>
      </c>
      <c r="B30" s="41"/>
    </row>
    <row r="31" spans="1:2" ht="15.75" x14ac:dyDescent="0.25">
      <c r="A31" s="40" t="s">
        <v>44</v>
      </c>
      <c r="B31" s="41"/>
    </row>
    <row r="32" spans="1:2" ht="15.75" x14ac:dyDescent="0.25">
      <c r="A32" s="40" t="s">
        <v>45</v>
      </c>
      <c r="B32" s="41"/>
    </row>
    <row r="33" spans="1:2" ht="15.75" x14ac:dyDescent="0.25">
      <c r="A33" s="40" t="s">
        <v>46</v>
      </c>
      <c r="B33" s="41"/>
    </row>
    <row r="34" spans="1:2" ht="15.75" x14ac:dyDescent="0.25">
      <c r="A34" s="40" t="s">
        <v>47</v>
      </c>
      <c r="B34" s="41"/>
    </row>
    <row r="35" spans="1:2" ht="15.75" x14ac:dyDescent="0.25">
      <c r="A35" s="40" t="s">
        <v>34</v>
      </c>
      <c r="B35" s="41"/>
    </row>
    <row r="36" spans="1:2" ht="15.75" x14ac:dyDescent="0.25">
      <c r="A36" s="40" t="s">
        <v>48</v>
      </c>
      <c r="B36" s="41"/>
    </row>
    <row r="37" spans="1:2" ht="15.75" x14ac:dyDescent="0.25">
      <c r="A37" s="40" t="s">
        <v>49</v>
      </c>
      <c r="B37" s="4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42"/>
  <sheetViews>
    <sheetView showGridLines="0" workbookViewId="0">
      <selection activeCell="G4" sqref="G4"/>
    </sheetView>
  </sheetViews>
  <sheetFormatPr defaultRowHeight="15.75" x14ac:dyDescent="0.25"/>
  <cols>
    <col min="1" max="1" width="4.28515625" style="1" customWidth="1"/>
    <col min="2" max="2" width="9" style="1" customWidth="1"/>
    <col min="3" max="3" width="18.7109375" style="10" customWidth="1"/>
    <col min="4" max="7" width="18.7109375" style="1" customWidth="1"/>
    <col min="8" max="8" width="14.5703125" style="3" customWidth="1"/>
    <col min="9" max="12" width="9.140625" style="1"/>
  </cols>
  <sheetData>
    <row r="1" spans="2:8" ht="19.5" x14ac:dyDescent="0.35">
      <c r="C1" s="24" t="s">
        <v>6</v>
      </c>
    </row>
    <row r="2" spans="2:8" x14ac:dyDescent="0.25">
      <c r="C2" s="2"/>
      <c r="G2" s="1" t="s">
        <v>8</v>
      </c>
    </row>
    <row r="3" spans="2:8" x14ac:dyDescent="0.25">
      <c r="B3" s="39" t="s">
        <v>1</v>
      </c>
      <c r="C3" s="39"/>
      <c r="D3" s="4"/>
      <c r="E3" s="4"/>
    </row>
    <row r="4" spans="2:8" x14ac:dyDescent="0.25">
      <c r="B4" s="18" t="s">
        <v>0</v>
      </c>
      <c r="C4" s="17">
        <v>5.0000000000000002E-5</v>
      </c>
      <c r="D4" s="4"/>
      <c r="E4" s="4"/>
    </row>
    <row r="5" spans="2:8" ht="18.75" x14ac:dyDescent="0.25">
      <c r="B5" s="21" t="s">
        <v>4</v>
      </c>
      <c r="C5" s="22">
        <v>2.2000000000000002</v>
      </c>
      <c r="D5" s="4"/>
      <c r="E5" s="4"/>
    </row>
    <row r="6" spans="2:8" ht="17.25" x14ac:dyDescent="0.3">
      <c r="C6" s="20" t="s">
        <v>14</v>
      </c>
    </row>
    <row r="7" spans="2:8" ht="16.5" x14ac:dyDescent="0.25">
      <c r="C7" s="20" t="s">
        <v>15</v>
      </c>
    </row>
    <row r="8" spans="2:8" x14ac:dyDescent="0.25">
      <c r="B8" s="19"/>
      <c r="C8" s="19"/>
      <c r="D8" s="4"/>
      <c r="E8" s="4"/>
    </row>
    <row r="9" spans="2:8" x14ac:dyDescent="0.25">
      <c r="B9" s="19"/>
      <c r="C9" s="25" t="s">
        <v>5</v>
      </c>
      <c r="D9" s="26"/>
      <c r="E9" s="26"/>
    </row>
    <row r="10" spans="2:8" x14ac:dyDescent="0.25">
      <c r="B10" s="19"/>
      <c r="C10" s="23"/>
      <c r="D10" s="4"/>
      <c r="E10" s="4"/>
    </row>
    <row r="11" spans="2:8" ht="18.75" x14ac:dyDescent="0.25">
      <c r="B11" s="3"/>
      <c r="C11" s="5"/>
      <c r="D11" s="4"/>
      <c r="E11" s="4"/>
      <c r="F11" s="6" t="s">
        <v>17</v>
      </c>
      <c r="G11" s="28" t="s">
        <v>7</v>
      </c>
    </row>
    <row r="12" spans="2:8" ht="18.75" x14ac:dyDescent="0.25">
      <c r="B12" s="38" t="s">
        <v>9</v>
      </c>
      <c r="C12" s="14" t="s">
        <v>10</v>
      </c>
      <c r="D12" s="13" t="s">
        <v>11</v>
      </c>
      <c r="E12" s="13" t="s">
        <v>12</v>
      </c>
      <c r="F12" s="13" t="s">
        <v>16</v>
      </c>
      <c r="G12" s="13" t="s">
        <v>2</v>
      </c>
      <c r="H12" s="15" t="s">
        <v>3</v>
      </c>
    </row>
    <row r="13" spans="2:8" x14ac:dyDescent="0.25">
      <c r="B13" s="7">
        <v>0</v>
      </c>
      <c r="C13" s="16">
        <f>C5</f>
        <v>2.2000000000000002</v>
      </c>
      <c r="D13" s="12">
        <f>func(C13)</f>
        <v>0.84800000000000253</v>
      </c>
      <c r="E13" s="27">
        <f>funcp(C13)</f>
        <v>10.520000000000003</v>
      </c>
      <c r="F13" s="27">
        <f t="shared" ref="F13:F42" si="0">-D13/E13</f>
        <v>-8.0608365019011627E-2</v>
      </c>
      <c r="G13" s="8">
        <f>ABS(F13)</f>
        <v>8.0608365019011627E-2</v>
      </c>
      <c r="H13" s="3" t="str">
        <f>IF(ABS(F13)&lt;eps,"Converged","---")</f>
        <v>---</v>
      </c>
    </row>
    <row r="14" spans="2:8" x14ac:dyDescent="0.25">
      <c r="B14" s="7">
        <v>1</v>
      </c>
      <c r="C14" s="9">
        <f t="shared" ref="C14:C19" si="1">C13-D13/E13</f>
        <v>2.1193916349809885</v>
      </c>
      <c r="D14" s="12">
        <f>func(C14)</f>
        <v>4.2361106513405744E-2</v>
      </c>
      <c r="E14" s="27">
        <f t="shared" ref="E14" si="2">funcp(C14)</f>
        <v>9.475462707282162</v>
      </c>
      <c r="F14" s="11">
        <f t="shared" si="0"/>
        <v>-4.4706108632404868E-3</v>
      </c>
      <c r="G14" s="8">
        <f>ABS(F14)/F13^2</f>
        <v>0.68802884211347348</v>
      </c>
      <c r="H14" s="3" t="str">
        <f>IF(ABS(F14)&lt;eps,"Converged","---")</f>
        <v>---</v>
      </c>
    </row>
    <row r="15" spans="2:8" x14ac:dyDescent="0.25">
      <c r="B15" s="7">
        <v>2</v>
      </c>
      <c r="C15" s="9">
        <f t="shared" si="1"/>
        <v>2.1149210241177481</v>
      </c>
      <c r="D15" s="12">
        <f t="shared" ref="D15:D42" si="3">func(C15)</f>
        <v>1.2698743082673047E-4</v>
      </c>
      <c r="E15" s="27">
        <f t="shared" ref="E15:E42" si="4">funcp(C15)</f>
        <v>9.4186728147657917</v>
      </c>
      <c r="F15" s="11">
        <f t="shared" si="0"/>
        <v>-1.3482518537818875E-5</v>
      </c>
      <c r="G15" s="8">
        <f>ABS(F15)/F14^2</f>
        <v>0.67458594423058704</v>
      </c>
      <c r="H15" s="3" t="str">
        <f t="shared" ref="H15:H42" si="5">IF(ABS(F15)&lt;eps,"Converged "&amp;B15,"---")</f>
        <v>Converged 2</v>
      </c>
    </row>
    <row r="16" spans="2:8" x14ac:dyDescent="0.25">
      <c r="B16" s="7">
        <v>3</v>
      </c>
      <c r="C16" s="9">
        <f t="shared" si="1"/>
        <v>2.1149075415992105</v>
      </c>
      <c r="D16" s="12">
        <f t="shared" si="3"/>
        <v>1.1533405341879188E-9</v>
      </c>
      <c r="E16" s="27">
        <f t="shared" si="4"/>
        <v>9.4185017285396491</v>
      </c>
      <c r="F16" s="11">
        <f t="shared" si="0"/>
        <v>-1.2245477756755115E-10</v>
      </c>
      <c r="G16" s="8">
        <f t="shared" ref="G16:G42" si="6">ABS(F16)/F15^2</f>
        <v>0.67364901884904693</v>
      </c>
      <c r="H16" s="3" t="str">
        <f t="shared" si="5"/>
        <v>Converged 3</v>
      </c>
    </row>
    <row r="17" spans="2:8" x14ac:dyDescent="0.25">
      <c r="B17" s="7">
        <v>4</v>
      </c>
      <c r="C17" s="9">
        <f t="shared" si="1"/>
        <v>2.1149075414767555</v>
      </c>
      <c r="D17" s="12">
        <f t="shared" si="3"/>
        <v>-1.7763568394002505E-15</v>
      </c>
      <c r="E17" s="27">
        <f t="shared" si="4"/>
        <v>9.4185017269857632</v>
      </c>
      <c r="F17" s="11">
        <f t="shared" si="0"/>
        <v>1.8860291062119329E-16</v>
      </c>
      <c r="G17" s="8">
        <f>ABS(F17)/F16^2</f>
        <v>12577.575216517354</v>
      </c>
      <c r="H17" s="3" t="str">
        <f t="shared" si="5"/>
        <v>Converged 4</v>
      </c>
    </row>
    <row r="18" spans="2:8" x14ac:dyDescent="0.25">
      <c r="B18" s="7">
        <v>5</v>
      </c>
      <c r="C18" s="9">
        <f t="shared" si="1"/>
        <v>2.1149075414767555</v>
      </c>
      <c r="D18" s="29">
        <f t="shared" si="3"/>
        <v>-1.7763568394002505E-15</v>
      </c>
      <c r="E18" s="27">
        <f t="shared" si="4"/>
        <v>9.4185017269857632</v>
      </c>
      <c r="F18" s="11">
        <f t="shared" si="0"/>
        <v>1.8860291062119329E-16</v>
      </c>
      <c r="G18" s="8">
        <f t="shared" ref="G18:G19" si="7">ABS(F18)/F17^2</f>
        <v>5302145108505182</v>
      </c>
      <c r="H18" s="3" t="str">
        <f t="shared" si="5"/>
        <v>Converged 5</v>
      </c>
    </row>
    <row r="19" spans="2:8" x14ac:dyDescent="0.25">
      <c r="B19" s="7">
        <v>6</v>
      </c>
      <c r="C19" s="9">
        <f t="shared" si="1"/>
        <v>2.1149075414767555</v>
      </c>
      <c r="D19" s="29">
        <f t="shared" si="3"/>
        <v>-1.7763568394002505E-15</v>
      </c>
      <c r="E19" s="27">
        <f t="shared" si="4"/>
        <v>9.4185017269857632</v>
      </c>
      <c r="F19" s="11">
        <f>-D19/E19</f>
        <v>1.8860291062119329E-16</v>
      </c>
      <c r="G19" s="8">
        <f t="shared" si="7"/>
        <v>5302145108505182</v>
      </c>
      <c r="H19" s="3" t="str">
        <f t="shared" si="5"/>
        <v>Converged 6</v>
      </c>
    </row>
    <row r="20" spans="2:8" x14ac:dyDescent="0.25">
      <c r="B20" s="7">
        <v>7</v>
      </c>
      <c r="C20" s="9">
        <f t="shared" ref="C20:C32" si="8">C19-D19/E19</f>
        <v>2.1149075414767555</v>
      </c>
      <c r="D20" s="29">
        <f t="shared" si="3"/>
        <v>-1.7763568394002505E-15</v>
      </c>
      <c r="E20" s="27">
        <f t="shared" si="4"/>
        <v>9.4185017269857632</v>
      </c>
      <c r="F20" s="11">
        <f t="shared" si="0"/>
        <v>1.8860291062119329E-16</v>
      </c>
      <c r="G20" s="11">
        <f t="shared" si="6"/>
        <v>5302145108505182</v>
      </c>
      <c r="H20" s="3" t="str">
        <f t="shared" si="5"/>
        <v>Converged 7</v>
      </c>
    </row>
    <row r="21" spans="2:8" x14ac:dyDescent="0.25">
      <c r="B21" s="7">
        <v>8</v>
      </c>
      <c r="C21" s="9">
        <f t="shared" si="8"/>
        <v>2.1149075414767555</v>
      </c>
      <c r="D21" s="29">
        <f t="shared" si="3"/>
        <v>-1.7763568394002505E-15</v>
      </c>
      <c r="E21" s="27">
        <f t="shared" si="4"/>
        <v>9.4185017269857632</v>
      </c>
      <c r="F21" s="11">
        <f t="shared" si="0"/>
        <v>1.8860291062119329E-16</v>
      </c>
      <c r="G21" s="11">
        <f t="shared" si="6"/>
        <v>5302145108505182</v>
      </c>
      <c r="H21" s="3" t="str">
        <f t="shared" si="5"/>
        <v>Converged 8</v>
      </c>
    </row>
    <row r="22" spans="2:8" x14ac:dyDescent="0.25">
      <c r="B22" s="7">
        <v>9</v>
      </c>
      <c r="C22" s="9">
        <f t="shared" si="8"/>
        <v>2.1149075414767555</v>
      </c>
      <c r="D22" s="29">
        <f t="shared" si="3"/>
        <v>-1.7763568394002505E-15</v>
      </c>
      <c r="E22" s="27">
        <f t="shared" si="4"/>
        <v>9.4185017269857632</v>
      </c>
      <c r="F22" s="11">
        <f t="shared" si="0"/>
        <v>1.8860291062119329E-16</v>
      </c>
      <c r="G22" s="11">
        <f t="shared" si="6"/>
        <v>5302145108505182</v>
      </c>
      <c r="H22" s="3" t="str">
        <f t="shared" si="5"/>
        <v>Converged 9</v>
      </c>
    </row>
    <row r="23" spans="2:8" x14ac:dyDescent="0.25">
      <c r="B23" s="7">
        <v>10</v>
      </c>
      <c r="C23" s="9">
        <f t="shared" si="8"/>
        <v>2.1149075414767555</v>
      </c>
      <c r="D23" s="29">
        <f t="shared" si="3"/>
        <v>-1.7763568394002505E-15</v>
      </c>
      <c r="E23" s="27">
        <f t="shared" si="4"/>
        <v>9.4185017269857632</v>
      </c>
      <c r="F23" s="11">
        <f t="shared" si="0"/>
        <v>1.8860291062119329E-16</v>
      </c>
      <c r="G23" s="11">
        <f t="shared" si="6"/>
        <v>5302145108505182</v>
      </c>
      <c r="H23" s="3" t="str">
        <f t="shared" si="5"/>
        <v>Converged 10</v>
      </c>
    </row>
    <row r="24" spans="2:8" x14ac:dyDescent="0.25">
      <c r="B24" s="7">
        <v>11</v>
      </c>
      <c r="C24" s="9">
        <f t="shared" si="8"/>
        <v>2.1149075414767555</v>
      </c>
      <c r="D24" s="29">
        <f t="shared" si="3"/>
        <v>-1.7763568394002505E-15</v>
      </c>
      <c r="E24" s="27">
        <f t="shared" si="4"/>
        <v>9.4185017269857632</v>
      </c>
      <c r="F24" s="11">
        <f t="shared" si="0"/>
        <v>1.8860291062119329E-16</v>
      </c>
      <c r="G24" s="11">
        <f t="shared" si="6"/>
        <v>5302145108505182</v>
      </c>
      <c r="H24" s="3" t="str">
        <f t="shared" si="5"/>
        <v>Converged 11</v>
      </c>
    </row>
    <row r="25" spans="2:8" x14ac:dyDescent="0.25">
      <c r="B25" s="7">
        <v>12</v>
      </c>
      <c r="C25" s="9">
        <f t="shared" si="8"/>
        <v>2.1149075414767555</v>
      </c>
      <c r="D25" s="29">
        <f t="shared" si="3"/>
        <v>-1.7763568394002505E-15</v>
      </c>
      <c r="E25" s="27">
        <f t="shared" si="4"/>
        <v>9.4185017269857632</v>
      </c>
      <c r="F25" s="11">
        <f t="shared" si="0"/>
        <v>1.8860291062119329E-16</v>
      </c>
      <c r="G25" s="11">
        <f t="shared" si="6"/>
        <v>5302145108505182</v>
      </c>
      <c r="H25" s="3" t="str">
        <f t="shared" si="5"/>
        <v>Converged 12</v>
      </c>
    </row>
    <row r="26" spans="2:8" x14ac:dyDescent="0.25">
      <c r="B26" s="7">
        <v>13</v>
      </c>
      <c r="C26" s="9">
        <f t="shared" si="8"/>
        <v>2.1149075414767555</v>
      </c>
      <c r="D26" s="29">
        <f t="shared" si="3"/>
        <v>-1.7763568394002505E-15</v>
      </c>
      <c r="E26" s="27">
        <f t="shared" si="4"/>
        <v>9.4185017269857632</v>
      </c>
      <c r="F26" s="11">
        <f t="shared" si="0"/>
        <v>1.8860291062119329E-16</v>
      </c>
      <c r="G26" s="11">
        <f t="shared" si="6"/>
        <v>5302145108505182</v>
      </c>
      <c r="H26" s="3" t="str">
        <f t="shared" si="5"/>
        <v>Converged 13</v>
      </c>
    </row>
    <row r="27" spans="2:8" x14ac:dyDescent="0.25">
      <c r="B27" s="7">
        <v>14</v>
      </c>
      <c r="C27" s="9">
        <f t="shared" si="8"/>
        <v>2.1149075414767555</v>
      </c>
      <c r="D27" s="29">
        <f t="shared" si="3"/>
        <v>-1.7763568394002505E-15</v>
      </c>
      <c r="E27" s="27">
        <f t="shared" si="4"/>
        <v>9.4185017269857632</v>
      </c>
      <c r="F27" s="11">
        <f t="shared" si="0"/>
        <v>1.8860291062119329E-16</v>
      </c>
      <c r="G27" s="11">
        <f t="shared" si="6"/>
        <v>5302145108505182</v>
      </c>
      <c r="H27" s="3" t="str">
        <f t="shared" si="5"/>
        <v>Converged 14</v>
      </c>
    </row>
    <row r="28" spans="2:8" x14ac:dyDescent="0.25">
      <c r="B28" s="7">
        <v>15</v>
      </c>
      <c r="C28" s="9">
        <f t="shared" si="8"/>
        <v>2.1149075414767555</v>
      </c>
      <c r="D28" s="29">
        <f t="shared" si="3"/>
        <v>-1.7763568394002505E-15</v>
      </c>
      <c r="E28" s="27">
        <f t="shared" si="4"/>
        <v>9.4185017269857632</v>
      </c>
      <c r="F28" s="11">
        <f t="shared" si="0"/>
        <v>1.8860291062119329E-16</v>
      </c>
      <c r="G28" s="11">
        <f t="shared" si="6"/>
        <v>5302145108505182</v>
      </c>
      <c r="H28" s="3" t="str">
        <f t="shared" si="5"/>
        <v>Converged 15</v>
      </c>
    </row>
    <row r="29" spans="2:8" x14ac:dyDescent="0.25">
      <c r="B29" s="7">
        <v>16</v>
      </c>
      <c r="C29" s="9">
        <f t="shared" si="8"/>
        <v>2.1149075414767555</v>
      </c>
      <c r="D29" s="29">
        <f t="shared" si="3"/>
        <v>-1.7763568394002505E-15</v>
      </c>
      <c r="E29" s="27">
        <f t="shared" si="4"/>
        <v>9.4185017269857632</v>
      </c>
      <c r="F29" s="11">
        <f t="shared" si="0"/>
        <v>1.8860291062119329E-16</v>
      </c>
      <c r="G29" s="11">
        <f t="shared" si="6"/>
        <v>5302145108505182</v>
      </c>
      <c r="H29" s="3" t="str">
        <f t="shared" si="5"/>
        <v>Converged 16</v>
      </c>
    </row>
    <row r="30" spans="2:8" x14ac:dyDescent="0.25">
      <c r="B30" s="7">
        <v>17</v>
      </c>
      <c r="C30" s="9">
        <f t="shared" si="8"/>
        <v>2.1149075414767555</v>
      </c>
      <c r="D30" s="29">
        <f t="shared" si="3"/>
        <v>-1.7763568394002505E-15</v>
      </c>
      <c r="E30" s="27">
        <f t="shared" si="4"/>
        <v>9.4185017269857632</v>
      </c>
      <c r="F30" s="11">
        <f t="shared" si="0"/>
        <v>1.8860291062119329E-16</v>
      </c>
      <c r="G30" s="11">
        <f t="shared" si="6"/>
        <v>5302145108505182</v>
      </c>
      <c r="H30" s="3" t="str">
        <f t="shared" si="5"/>
        <v>Converged 17</v>
      </c>
    </row>
    <row r="31" spans="2:8" x14ac:dyDescent="0.25">
      <c r="B31" s="7">
        <v>18</v>
      </c>
      <c r="C31" s="9">
        <f t="shared" si="8"/>
        <v>2.1149075414767555</v>
      </c>
      <c r="D31" s="29">
        <f t="shared" si="3"/>
        <v>-1.7763568394002505E-15</v>
      </c>
      <c r="E31" s="27">
        <f t="shared" si="4"/>
        <v>9.4185017269857632</v>
      </c>
      <c r="F31" s="11">
        <f t="shared" si="0"/>
        <v>1.8860291062119329E-16</v>
      </c>
      <c r="G31" s="11">
        <f t="shared" si="6"/>
        <v>5302145108505182</v>
      </c>
      <c r="H31" s="3" t="str">
        <f t="shared" si="5"/>
        <v>Converged 18</v>
      </c>
    </row>
    <row r="32" spans="2:8" x14ac:dyDescent="0.25">
      <c r="B32" s="7">
        <v>19</v>
      </c>
      <c r="C32" s="9">
        <f t="shared" si="8"/>
        <v>2.1149075414767555</v>
      </c>
      <c r="D32" s="29">
        <f t="shared" si="3"/>
        <v>-1.7763568394002505E-15</v>
      </c>
      <c r="E32" s="27">
        <f t="shared" si="4"/>
        <v>9.4185017269857632</v>
      </c>
      <c r="F32" s="11">
        <f t="shared" si="0"/>
        <v>1.8860291062119329E-16</v>
      </c>
      <c r="G32" s="11">
        <f t="shared" si="6"/>
        <v>5302145108505182</v>
      </c>
      <c r="H32" s="3" t="str">
        <f t="shared" si="5"/>
        <v>Converged 19</v>
      </c>
    </row>
    <row r="33" spans="2:8" x14ac:dyDescent="0.25">
      <c r="B33" s="7">
        <v>20</v>
      </c>
      <c r="C33" s="9">
        <f t="shared" ref="C33:C42" si="9">C32-D32/E32</f>
        <v>2.1149075414767555</v>
      </c>
      <c r="D33" s="29">
        <f t="shared" si="3"/>
        <v>-1.7763568394002505E-15</v>
      </c>
      <c r="E33" s="27">
        <f t="shared" si="4"/>
        <v>9.4185017269857632</v>
      </c>
      <c r="F33" s="11">
        <f t="shared" si="0"/>
        <v>1.8860291062119329E-16</v>
      </c>
      <c r="G33" s="11">
        <f t="shared" si="6"/>
        <v>5302145108505182</v>
      </c>
      <c r="H33" s="3" t="str">
        <f t="shared" si="5"/>
        <v>Converged 20</v>
      </c>
    </row>
    <row r="34" spans="2:8" x14ac:dyDescent="0.25">
      <c r="B34" s="7">
        <v>21</v>
      </c>
      <c r="C34" s="9">
        <f t="shared" si="9"/>
        <v>2.1149075414767555</v>
      </c>
      <c r="D34" s="29">
        <f t="shared" si="3"/>
        <v>-1.7763568394002505E-15</v>
      </c>
      <c r="E34" s="27">
        <f t="shared" si="4"/>
        <v>9.4185017269857632</v>
      </c>
      <c r="F34" s="11">
        <f t="shared" si="0"/>
        <v>1.8860291062119329E-16</v>
      </c>
      <c r="G34" s="11">
        <f t="shared" si="6"/>
        <v>5302145108505182</v>
      </c>
      <c r="H34" s="3" t="str">
        <f t="shared" si="5"/>
        <v>Converged 21</v>
      </c>
    </row>
    <row r="35" spans="2:8" x14ac:dyDescent="0.25">
      <c r="B35" s="7">
        <v>22</v>
      </c>
      <c r="C35" s="9">
        <f t="shared" si="9"/>
        <v>2.1149075414767555</v>
      </c>
      <c r="D35" s="29">
        <f t="shared" si="3"/>
        <v>-1.7763568394002505E-15</v>
      </c>
      <c r="E35" s="27">
        <f t="shared" si="4"/>
        <v>9.4185017269857632</v>
      </c>
      <c r="F35" s="11">
        <f t="shared" si="0"/>
        <v>1.8860291062119329E-16</v>
      </c>
      <c r="G35" s="11">
        <f t="shared" si="6"/>
        <v>5302145108505182</v>
      </c>
      <c r="H35" s="3" t="str">
        <f t="shared" si="5"/>
        <v>Converged 22</v>
      </c>
    </row>
    <row r="36" spans="2:8" x14ac:dyDescent="0.25">
      <c r="B36" s="7">
        <v>23</v>
      </c>
      <c r="C36" s="9">
        <f t="shared" si="9"/>
        <v>2.1149075414767555</v>
      </c>
      <c r="D36" s="29">
        <f t="shared" si="3"/>
        <v>-1.7763568394002505E-15</v>
      </c>
      <c r="E36" s="27">
        <f t="shared" si="4"/>
        <v>9.4185017269857632</v>
      </c>
      <c r="F36" s="11">
        <f t="shared" si="0"/>
        <v>1.8860291062119329E-16</v>
      </c>
      <c r="G36" s="11">
        <f t="shared" si="6"/>
        <v>5302145108505182</v>
      </c>
      <c r="H36" s="3" t="str">
        <f t="shared" si="5"/>
        <v>Converged 23</v>
      </c>
    </row>
    <row r="37" spans="2:8" x14ac:dyDescent="0.25">
      <c r="B37" s="7">
        <v>24</v>
      </c>
      <c r="C37" s="9">
        <f t="shared" si="9"/>
        <v>2.1149075414767555</v>
      </c>
      <c r="D37" s="29">
        <f t="shared" si="3"/>
        <v>-1.7763568394002505E-15</v>
      </c>
      <c r="E37" s="27">
        <f t="shared" si="4"/>
        <v>9.4185017269857632</v>
      </c>
      <c r="F37" s="11">
        <f t="shared" si="0"/>
        <v>1.8860291062119329E-16</v>
      </c>
      <c r="G37" s="11">
        <f t="shared" si="6"/>
        <v>5302145108505182</v>
      </c>
      <c r="H37" s="3" t="str">
        <f t="shared" si="5"/>
        <v>Converged 24</v>
      </c>
    </row>
    <row r="38" spans="2:8" x14ac:dyDescent="0.25">
      <c r="B38" s="7">
        <v>25</v>
      </c>
      <c r="C38" s="9">
        <f t="shared" si="9"/>
        <v>2.1149075414767555</v>
      </c>
      <c r="D38" s="29">
        <f t="shared" si="3"/>
        <v>-1.7763568394002505E-15</v>
      </c>
      <c r="E38" s="27">
        <f t="shared" si="4"/>
        <v>9.4185017269857632</v>
      </c>
      <c r="F38" s="11">
        <f t="shared" si="0"/>
        <v>1.8860291062119329E-16</v>
      </c>
      <c r="G38" s="11">
        <f t="shared" si="6"/>
        <v>5302145108505182</v>
      </c>
      <c r="H38" s="3" t="str">
        <f t="shared" si="5"/>
        <v>Converged 25</v>
      </c>
    </row>
    <row r="39" spans="2:8" x14ac:dyDescent="0.25">
      <c r="B39" s="7">
        <v>26</v>
      </c>
      <c r="C39" s="9">
        <f t="shared" si="9"/>
        <v>2.1149075414767555</v>
      </c>
      <c r="D39" s="29">
        <f t="shared" si="3"/>
        <v>-1.7763568394002505E-15</v>
      </c>
      <c r="E39" s="27">
        <f t="shared" si="4"/>
        <v>9.4185017269857632</v>
      </c>
      <c r="F39" s="11">
        <f t="shared" si="0"/>
        <v>1.8860291062119329E-16</v>
      </c>
      <c r="G39" s="11">
        <f t="shared" si="6"/>
        <v>5302145108505182</v>
      </c>
      <c r="H39" s="3" t="str">
        <f t="shared" si="5"/>
        <v>Converged 26</v>
      </c>
    </row>
    <row r="40" spans="2:8" x14ac:dyDescent="0.25">
      <c r="B40" s="7">
        <v>27</v>
      </c>
      <c r="C40" s="9">
        <f t="shared" si="9"/>
        <v>2.1149075414767555</v>
      </c>
      <c r="D40" s="29">
        <f t="shared" si="3"/>
        <v>-1.7763568394002505E-15</v>
      </c>
      <c r="E40" s="27">
        <f t="shared" si="4"/>
        <v>9.4185017269857632</v>
      </c>
      <c r="F40" s="11">
        <f t="shared" si="0"/>
        <v>1.8860291062119329E-16</v>
      </c>
      <c r="G40" s="11">
        <f t="shared" si="6"/>
        <v>5302145108505182</v>
      </c>
      <c r="H40" s="3" t="str">
        <f t="shared" si="5"/>
        <v>Converged 27</v>
      </c>
    </row>
    <row r="41" spans="2:8" x14ac:dyDescent="0.25">
      <c r="B41" s="7">
        <v>28</v>
      </c>
      <c r="C41" s="9">
        <f t="shared" si="9"/>
        <v>2.1149075414767555</v>
      </c>
      <c r="D41" s="29">
        <f t="shared" si="3"/>
        <v>-1.7763568394002505E-15</v>
      </c>
      <c r="E41" s="27">
        <f t="shared" si="4"/>
        <v>9.4185017269857632</v>
      </c>
      <c r="F41" s="11">
        <f t="shared" si="0"/>
        <v>1.8860291062119329E-16</v>
      </c>
      <c r="G41" s="11">
        <f t="shared" si="6"/>
        <v>5302145108505182</v>
      </c>
      <c r="H41" s="3" t="str">
        <f t="shared" si="5"/>
        <v>Converged 28</v>
      </c>
    </row>
    <row r="42" spans="2:8" x14ac:dyDescent="0.25">
      <c r="B42" s="7">
        <v>29</v>
      </c>
      <c r="C42" s="9">
        <f t="shared" si="9"/>
        <v>2.1149075414767555</v>
      </c>
      <c r="D42" s="29">
        <f t="shared" si="3"/>
        <v>-1.7763568394002505E-15</v>
      </c>
      <c r="E42" s="27">
        <f t="shared" si="4"/>
        <v>9.4185017269857632</v>
      </c>
      <c r="F42" s="11">
        <f t="shared" si="0"/>
        <v>1.8860291062119329E-16</v>
      </c>
      <c r="G42" s="11">
        <f t="shared" si="6"/>
        <v>5302145108505182</v>
      </c>
      <c r="H42" s="3" t="str">
        <f t="shared" si="5"/>
        <v>Converged 29</v>
      </c>
    </row>
  </sheetData>
  <mergeCells count="1">
    <mergeCell ref="B3:C3"/>
  </mergeCells>
  <pageMargins left="0.7" right="0.7" top="0.75" bottom="0.75" header="0.3" footer="0.3"/>
  <pageSetup paperSize="9" orientation="portrait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42"/>
  <sheetViews>
    <sheetView showGridLines="0" workbookViewId="0">
      <selection activeCell="J25" sqref="J25"/>
    </sheetView>
  </sheetViews>
  <sheetFormatPr defaultRowHeight="15.75" x14ac:dyDescent="0.25"/>
  <cols>
    <col min="1" max="1" width="4.28515625" style="1" customWidth="1"/>
    <col min="2" max="2" width="9" style="1" customWidth="1"/>
    <col min="3" max="3" width="18.7109375" style="10" customWidth="1"/>
    <col min="4" max="7" width="18.7109375" style="1" customWidth="1"/>
    <col min="8" max="8" width="14.5703125" style="3" customWidth="1"/>
    <col min="9" max="12" width="9.140625" style="1"/>
  </cols>
  <sheetData>
    <row r="1" spans="2:8" ht="19.5" x14ac:dyDescent="0.35">
      <c r="C1" s="24" t="s">
        <v>6</v>
      </c>
    </row>
    <row r="2" spans="2:8" x14ac:dyDescent="0.25">
      <c r="C2" s="2"/>
    </row>
    <row r="3" spans="2:8" x14ac:dyDescent="0.25">
      <c r="B3" s="39" t="s">
        <v>1</v>
      </c>
      <c r="C3" s="39"/>
      <c r="D3" s="4"/>
      <c r="E3" s="4"/>
    </row>
    <row r="4" spans="2:8" x14ac:dyDescent="0.25">
      <c r="B4" s="18" t="s">
        <v>0</v>
      </c>
      <c r="C4" s="17">
        <v>5.0000000000000002E-5</v>
      </c>
      <c r="D4" s="4"/>
      <c r="E4" s="4"/>
    </row>
    <row r="5" spans="2:8" ht="18.75" x14ac:dyDescent="0.25">
      <c r="B5" s="21" t="s">
        <v>4</v>
      </c>
      <c r="C5" s="22">
        <v>2.2000000000000002</v>
      </c>
      <c r="D5" s="4"/>
      <c r="E5" s="4"/>
    </row>
    <row r="6" spans="2:8" ht="17.25" x14ac:dyDescent="0.3">
      <c r="C6" s="20" t="s">
        <v>14</v>
      </c>
    </row>
    <row r="7" spans="2:8" ht="16.5" x14ac:dyDescent="0.25">
      <c r="C7" s="20" t="s">
        <v>15</v>
      </c>
    </row>
    <row r="8" spans="2:8" x14ac:dyDescent="0.25">
      <c r="B8" s="19"/>
      <c r="C8" s="19"/>
      <c r="D8" s="4"/>
      <c r="E8" s="4"/>
      <c r="H8" s="3">
        <v>-1</v>
      </c>
    </row>
    <row r="9" spans="2:8" x14ac:dyDescent="0.25">
      <c r="B9" s="19"/>
      <c r="C9" s="25" t="s">
        <v>5</v>
      </c>
      <c r="D9" s="26"/>
      <c r="E9" s="26"/>
    </row>
    <row r="10" spans="2:8" x14ac:dyDescent="0.25">
      <c r="B10" s="19"/>
      <c r="C10" s="23"/>
      <c r="D10" s="4"/>
      <c r="E10" s="4"/>
    </row>
    <row r="11" spans="2:8" ht="18.75" x14ac:dyDescent="0.25">
      <c r="B11" s="3"/>
      <c r="C11" s="5"/>
      <c r="D11" s="4"/>
      <c r="E11" s="4"/>
      <c r="F11" s="6" t="s">
        <v>13</v>
      </c>
      <c r="G11" s="28" t="s">
        <v>7</v>
      </c>
    </row>
    <row r="12" spans="2:8" ht="18.75" x14ac:dyDescent="0.25">
      <c r="B12" s="38" t="s">
        <v>9</v>
      </c>
      <c r="C12" s="14" t="s">
        <v>10</v>
      </c>
      <c r="D12" s="13" t="s">
        <v>11</v>
      </c>
      <c r="E12" s="13" t="s">
        <v>12</v>
      </c>
      <c r="F12" s="13" t="s">
        <v>18</v>
      </c>
      <c r="G12" s="13" t="s">
        <v>2</v>
      </c>
    </row>
    <row r="13" spans="2:8" x14ac:dyDescent="0.25">
      <c r="B13" s="30">
        <v>0</v>
      </c>
      <c r="C13" s="31">
        <v>2.2000000000000002</v>
      </c>
      <c r="D13" s="32">
        <v>0.84800000000000253</v>
      </c>
      <c r="E13" s="33">
        <v>10.520000000000003</v>
      </c>
      <c r="F13" s="33">
        <v>8.0608365019011627E-2</v>
      </c>
      <c r="G13" s="34">
        <v>8.0608365019011627E-2</v>
      </c>
    </row>
    <row r="14" spans="2:8" x14ac:dyDescent="0.25">
      <c r="B14" s="30">
        <v>1</v>
      </c>
      <c r="C14" s="35">
        <v>2.1193916349809885</v>
      </c>
      <c r="D14" s="32">
        <v>4.2361106513405744E-2</v>
      </c>
      <c r="E14" s="33">
        <v>9.475462707282162</v>
      </c>
      <c r="F14" s="36">
        <v>4.4706108632404868E-3</v>
      </c>
      <c r="G14" s="34">
        <v>0.68802884211347348</v>
      </c>
    </row>
    <row r="15" spans="2:8" x14ac:dyDescent="0.25">
      <c r="B15" s="30">
        <v>2</v>
      </c>
      <c r="C15" s="35">
        <v>2.1149210241177481</v>
      </c>
      <c r="D15" s="32">
        <v>1.2698743082673047E-4</v>
      </c>
      <c r="E15" s="33">
        <v>9.4186728147657917</v>
      </c>
      <c r="F15" s="36">
        <v>1.3482518537818875E-5</v>
      </c>
      <c r="G15" s="34">
        <v>0.67458594423058704</v>
      </c>
    </row>
    <row r="16" spans="2:8" x14ac:dyDescent="0.25">
      <c r="B16" s="30"/>
      <c r="C16" s="35"/>
      <c r="D16" s="32"/>
      <c r="E16" s="33"/>
      <c r="F16" s="36"/>
      <c r="G16" s="34"/>
    </row>
    <row r="17" spans="2:7" x14ac:dyDescent="0.25">
      <c r="B17" s="30"/>
      <c r="C17" s="35"/>
      <c r="D17" s="32"/>
      <c r="E17" s="33"/>
      <c r="F17" s="36"/>
      <c r="G17" s="34"/>
    </row>
    <row r="18" spans="2:7" x14ac:dyDescent="0.25">
      <c r="B18" s="30"/>
      <c r="C18" s="35"/>
      <c r="D18" s="37"/>
      <c r="E18" s="33"/>
      <c r="F18" s="36"/>
      <c r="G18" s="34"/>
    </row>
    <row r="19" spans="2:7" x14ac:dyDescent="0.25">
      <c r="B19" s="30"/>
      <c r="C19" s="35"/>
      <c r="D19" s="37"/>
      <c r="E19" s="33"/>
      <c r="F19" s="36"/>
      <c r="G19" s="36"/>
    </row>
    <row r="20" spans="2:7" x14ac:dyDescent="0.25">
      <c r="B20" s="30"/>
      <c r="C20" s="35"/>
      <c r="D20" s="37"/>
      <c r="E20" s="33"/>
      <c r="F20" s="36"/>
      <c r="G20" s="36"/>
    </row>
    <row r="21" spans="2:7" x14ac:dyDescent="0.25">
      <c r="B21" s="30"/>
      <c r="C21" s="35"/>
      <c r="D21" s="37"/>
      <c r="E21" s="33"/>
      <c r="F21" s="36"/>
      <c r="G21" s="36"/>
    </row>
    <row r="22" spans="2:7" x14ac:dyDescent="0.25">
      <c r="B22" s="30"/>
      <c r="C22" s="35"/>
      <c r="D22" s="37"/>
      <c r="E22" s="33"/>
      <c r="F22" s="36"/>
      <c r="G22" s="36"/>
    </row>
    <row r="23" spans="2:7" x14ac:dyDescent="0.25">
      <c r="B23" s="30"/>
      <c r="C23" s="35"/>
      <c r="D23" s="37"/>
      <c r="E23" s="33"/>
      <c r="F23" s="36"/>
      <c r="G23" s="36"/>
    </row>
    <row r="24" spans="2:7" x14ac:dyDescent="0.25">
      <c r="B24" s="30"/>
      <c r="C24" s="35"/>
      <c r="D24" s="37"/>
      <c r="E24" s="33"/>
      <c r="F24" s="36"/>
      <c r="G24" s="36"/>
    </row>
    <row r="25" spans="2:7" x14ac:dyDescent="0.25">
      <c r="B25" s="30"/>
      <c r="C25" s="35"/>
      <c r="D25" s="37"/>
      <c r="E25" s="33"/>
      <c r="F25" s="36"/>
      <c r="G25" s="36"/>
    </row>
    <row r="26" spans="2:7" x14ac:dyDescent="0.25">
      <c r="B26" s="30"/>
      <c r="C26" s="35"/>
      <c r="D26" s="37"/>
      <c r="E26" s="33"/>
      <c r="F26" s="36"/>
      <c r="G26" s="36"/>
    </row>
    <row r="27" spans="2:7" x14ac:dyDescent="0.25">
      <c r="B27" s="30"/>
      <c r="C27" s="35"/>
      <c r="D27" s="37"/>
      <c r="E27" s="33"/>
      <c r="F27" s="36"/>
      <c r="G27" s="36"/>
    </row>
    <row r="28" spans="2:7" x14ac:dyDescent="0.25">
      <c r="B28" s="30"/>
      <c r="C28" s="35"/>
      <c r="D28" s="37"/>
      <c r="E28" s="33"/>
      <c r="F28" s="36"/>
      <c r="G28" s="36"/>
    </row>
    <row r="29" spans="2:7" x14ac:dyDescent="0.25">
      <c r="B29" s="30"/>
      <c r="C29" s="35"/>
      <c r="D29" s="37"/>
      <c r="E29" s="33"/>
      <c r="F29" s="36"/>
      <c r="G29" s="36"/>
    </row>
    <row r="30" spans="2:7" x14ac:dyDescent="0.25">
      <c r="B30" s="30"/>
      <c r="C30" s="35"/>
      <c r="D30" s="37"/>
      <c r="E30" s="33"/>
      <c r="F30" s="36"/>
      <c r="G30" s="36"/>
    </row>
    <row r="31" spans="2:7" x14ac:dyDescent="0.25">
      <c r="B31" s="30"/>
      <c r="C31" s="35"/>
      <c r="D31" s="37"/>
      <c r="E31" s="33"/>
      <c r="F31" s="36"/>
      <c r="G31" s="36"/>
    </row>
    <row r="32" spans="2:7" x14ac:dyDescent="0.25">
      <c r="B32" s="30"/>
      <c r="C32" s="35"/>
      <c r="D32" s="37"/>
      <c r="E32" s="33"/>
      <c r="F32" s="36"/>
      <c r="G32" s="36"/>
    </row>
    <row r="33" spans="2:7" x14ac:dyDescent="0.25">
      <c r="B33" s="30"/>
      <c r="C33" s="35"/>
      <c r="D33" s="37"/>
      <c r="E33" s="33"/>
      <c r="F33" s="36"/>
      <c r="G33" s="36"/>
    </row>
    <row r="34" spans="2:7" x14ac:dyDescent="0.25">
      <c r="B34" s="30"/>
      <c r="C34" s="35"/>
      <c r="D34" s="37"/>
      <c r="E34" s="33"/>
      <c r="F34" s="36"/>
      <c r="G34" s="36"/>
    </row>
    <row r="35" spans="2:7" x14ac:dyDescent="0.25">
      <c r="B35" s="30"/>
      <c r="C35" s="35"/>
      <c r="D35" s="37"/>
      <c r="E35" s="33"/>
      <c r="F35" s="36"/>
      <c r="G35" s="36"/>
    </row>
    <row r="36" spans="2:7" x14ac:dyDescent="0.25">
      <c r="B36" s="30"/>
      <c r="C36" s="35"/>
      <c r="D36" s="37"/>
      <c r="E36" s="33"/>
      <c r="F36" s="36"/>
      <c r="G36" s="36"/>
    </row>
    <row r="37" spans="2:7" x14ac:dyDescent="0.25">
      <c r="B37" s="30"/>
      <c r="C37" s="35"/>
      <c r="D37" s="37"/>
      <c r="E37" s="33"/>
      <c r="F37" s="36"/>
      <c r="G37" s="36"/>
    </row>
    <row r="38" spans="2:7" x14ac:dyDescent="0.25">
      <c r="B38" s="30"/>
      <c r="C38" s="35"/>
      <c r="D38" s="37"/>
      <c r="E38" s="33"/>
      <c r="F38" s="36"/>
      <c r="G38" s="36"/>
    </row>
    <row r="39" spans="2:7" x14ac:dyDescent="0.25">
      <c r="B39" s="30"/>
      <c r="C39" s="35"/>
      <c r="D39" s="37"/>
      <c r="E39" s="33"/>
      <c r="F39" s="36"/>
      <c r="G39" s="36"/>
    </row>
    <row r="40" spans="2:7" x14ac:dyDescent="0.25">
      <c r="B40" s="30"/>
      <c r="C40" s="35"/>
      <c r="D40" s="37"/>
      <c r="E40" s="33"/>
      <c r="F40" s="36"/>
      <c r="G40" s="36"/>
    </row>
    <row r="41" spans="2:7" x14ac:dyDescent="0.25">
      <c r="B41" s="30"/>
      <c r="C41" s="35"/>
      <c r="D41" s="37"/>
      <c r="E41" s="33"/>
      <c r="F41" s="36"/>
      <c r="G41" s="36"/>
    </row>
    <row r="42" spans="2:7" x14ac:dyDescent="0.25">
      <c r="B42" s="30"/>
      <c r="C42" s="35"/>
      <c r="D42" s="37"/>
      <c r="E42" s="33"/>
      <c r="F42" s="36"/>
      <c r="G42" s="36"/>
    </row>
  </sheetData>
  <mergeCells count="1">
    <mergeCell ref="B3:C3"/>
  </mergeCell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1_Click">
                <anchor moveWithCells="1" sizeWithCells="1">
                  <from>
                    <xdr:col>5</xdr:col>
                    <xdr:colOff>76200</xdr:colOff>
                    <xdr:row>2</xdr:row>
                    <xdr:rowOff>152400</xdr:rowOff>
                  </from>
                  <to>
                    <xdr:col>6</xdr:col>
                    <xdr:colOff>57150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utton2_Click">
                <anchor moveWithCells="1" sizeWithCells="1">
                  <from>
                    <xdr:col>6</xdr:col>
                    <xdr:colOff>180975</xdr:colOff>
                    <xdr:row>2</xdr:row>
                    <xdr:rowOff>152400</xdr:rowOff>
                  </from>
                  <to>
                    <xdr:col>7</xdr:col>
                    <xdr:colOff>171450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Info</vt:lpstr>
      <vt:lpstr>Newton-Raphson</vt:lpstr>
      <vt:lpstr>Newton-Raphson w Macro</vt:lpstr>
      <vt:lpstr>'Newton-Raphson w Macro'!a</vt:lpstr>
      <vt:lpstr>a</vt:lpstr>
      <vt:lpstr>'Newton-Raphson w Macro'!eps</vt:lpstr>
      <vt:lpstr>eps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Zaltac_PC</dc:creator>
  <cp:lastModifiedBy>Zaltac_PC</cp:lastModifiedBy>
  <dcterms:created xsi:type="dcterms:W3CDTF">2011-02-23T05:59:00Z</dcterms:created>
  <dcterms:modified xsi:type="dcterms:W3CDTF">2024-11-20T08:35:34Z</dcterms:modified>
</cp:coreProperties>
</file>