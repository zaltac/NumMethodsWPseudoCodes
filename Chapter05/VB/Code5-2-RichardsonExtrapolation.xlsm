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mysite\zaltac.github.io\NumMethodsWPseudoCodes\Chapter05\"/>
    </mc:Choice>
  </mc:AlternateContent>
  <bookViews>
    <workbookView xWindow="0" yWindow="0" windowWidth="14370" windowHeight="10485" activeTab="1"/>
  </bookViews>
  <sheets>
    <sheet name="Infos" sheetId="2" r:id="rId1"/>
    <sheet name="RichardsonExt" sheetId="1" r:id="rId2"/>
  </sheets>
  <functionGroups builtInGroupCount="18"/>
  <definedNames>
    <definedName name="eps">RichardsonExt!$D$10</definedName>
    <definedName name="h">RichardsonExt!$D$8</definedName>
    <definedName name="x0">RichardsonExt!$D$6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/>
  <c r="E17" i="1" l="1"/>
  <c r="G24" i="1" l="1"/>
  <c r="G23" i="1"/>
  <c r="G22" i="1"/>
  <c r="L16" i="1"/>
  <c r="K16" i="1"/>
  <c r="J16" i="1"/>
  <c r="I16" i="1"/>
  <c r="H16" i="1"/>
  <c r="D20" i="1"/>
  <c r="D21" i="1" s="1"/>
  <c r="D22" i="1" s="1"/>
  <c r="D23" i="1" s="1"/>
  <c r="D24" i="1" s="1"/>
  <c r="D18" i="1"/>
  <c r="D19" i="1" s="1"/>
  <c r="E24" i="1"/>
  <c r="E23" i="1"/>
  <c r="E22" i="1"/>
  <c r="E21" i="1"/>
  <c r="E20" i="1"/>
  <c r="E19" i="1"/>
  <c r="E18" i="1"/>
  <c r="F24" i="1" l="1"/>
  <c r="F23" i="1"/>
  <c r="F22" i="1"/>
  <c r="F21" i="1"/>
  <c r="G21" i="1" s="1"/>
  <c r="F20" i="1"/>
  <c r="F18" i="1"/>
  <c r="F19" i="1"/>
  <c r="G20" i="1" l="1"/>
  <c r="G19" i="1"/>
  <c r="B19" i="1" s="1"/>
  <c r="H24" i="1"/>
  <c r="H23" i="1"/>
  <c r="H22" i="1"/>
  <c r="H21" i="1"/>
  <c r="B21" i="1" s="1"/>
  <c r="H20" i="1"/>
  <c r="B20" i="1" s="1"/>
  <c r="I24" i="1" l="1"/>
  <c r="B24" i="1" s="1"/>
  <c r="I23" i="1"/>
  <c r="I22" i="1"/>
  <c r="B22" i="1" s="1"/>
  <c r="I21" i="1"/>
  <c r="J24" i="1" l="1"/>
  <c r="J22" i="1"/>
  <c r="J23" i="1"/>
  <c r="B23" i="1"/>
  <c r="K24" i="1" l="1"/>
  <c r="K23" i="1"/>
  <c r="L24" i="1" l="1"/>
</calcChain>
</file>

<file path=xl/sharedStrings.xml><?xml version="1.0" encoding="utf-8"?>
<sst xmlns="http://schemas.openxmlformats.org/spreadsheetml/2006/main" count="40" uniqueCount="35">
  <si>
    <t>h=</t>
  </si>
  <si>
    <t>h</t>
  </si>
  <si>
    <t>DIFFERENTIATION WITH RICHARDSON EXTRAPOLATION</t>
  </si>
  <si>
    <t xml:space="preserve"> </t>
  </si>
  <si>
    <t>Error</t>
  </si>
  <si>
    <r>
      <t>x</t>
    </r>
    <r>
      <rPr>
        <vertAlign val="subscript"/>
        <sz val="12"/>
        <color theme="1"/>
        <rFont val="Times New Roman"/>
        <family val="1"/>
      </rPr>
      <t>0</t>
    </r>
    <r>
      <rPr>
        <i/>
        <sz val="12"/>
        <color theme="1"/>
        <rFont val="Times New Roman"/>
        <family val="1"/>
      </rPr>
      <t>=</t>
    </r>
  </si>
  <si>
    <t>n=</t>
  </si>
  <si>
    <r>
      <rPr>
        <sz val="12"/>
        <color theme="1"/>
        <rFont val="Symbol"/>
        <family val="1"/>
        <charset val="2"/>
      </rPr>
      <t>e</t>
    </r>
    <r>
      <rPr>
        <i/>
        <sz val="12"/>
        <color theme="1"/>
        <rFont val="Times New Roman"/>
        <family val="1"/>
      </rPr>
      <t>=</t>
    </r>
  </si>
  <si>
    <r>
      <t xml:space="preserve">Construct a  </t>
    </r>
    <r>
      <rPr>
        <i/>
        <sz val="14"/>
        <color theme="1"/>
        <rFont val="Times New Roman"/>
        <family val="1"/>
      </rPr>
      <t>n</t>
    </r>
    <r>
      <rPr>
        <sz val="14"/>
        <color theme="1"/>
        <rFont val="Symbol"/>
        <family val="1"/>
        <charset val="2"/>
      </rPr>
      <t>´</t>
    </r>
    <r>
      <rPr>
        <i/>
        <sz val="14"/>
        <color theme="1"/>
        <rFont val="Times New Roman"/>
        <family val="1"/>
      </rPr>
      <t xml:space="preserve">n </t>
    </r>
    <r>
      <rPr>
        <sz val="14"/>
        <color theme="1"/>
        <rFont val="Times New Roman"/>
        <family val="1"/>
      </rPr>
      <t>table</t>
    </r>
  </si>
  <si>
    <t xml:space="preserve">Define FUNC(x) as macro  
 </t>
  </si>
  <si>
    <r>
      <t xml:space="preserve">  </t>
    </r>
    <r>
      <rPr>
        <b/>
        <sz val="12"/>
        <color theme="1"/>
        <rFont val="Times New Roman"/>
        <family val="1"/>
      </rPr>
      <t xml:space="preserve">CODE5.2-RICHARDSON </t>
    </r>
    <r>
      <rPr>
        <sz val="12"/>
        <color theme="1"/>
        <rFont val="Times New Roman"/>
        <family val="1"/>
      </rPr>
      <t xml:space="preserve">implementing Pseudocode 5.2.                          </t>
    </r>
  </si>
  <si>
    <t xml:space="preserve">  NUMERICAL METHODS FOR SCIENTISTS AND ENGINEERS: WITH PSEUDOCODES</t>
  </si>
  <si>
    <t xml:space="preserve">  First Edition. (c) By Zekeriya ALTAÇ (2024).</t>
  </si>
  <si>
    <t xml:space="preserve">  ISBN: 978-1-032-75474-1 (hbk)</t>
  </si>
  <si>
    <t xml:space="preserve">  ISBN: 978-1-032-75642-4 (pbk)</t>
  </si>
  <si>
    <t xml:space="preserve">  ISBN: 978-1-003-47494-4 (ebk)</t>
  </si>
  <si>
    <t xml:space="preserve">  </t>
  </si>
  <si>
    <t xml:space="preserve">  DOI : 10.1201/9781003474944</t>
  </si>
  <si>
    <t xml:space="preserve">  C&amp;H/CRC PRESS, Boca Raton, FL, USA &amp; London, UK.</t>
  </si>
  <si>
    <t xml:space="preserve">  This free software is complimented by the author to accompany the textbook.</t>
  </si>
  <si>
    <r>
      <t xml:space="preserve">  </t>
    </r>
    <r>
      <rPr>
        <b/>
        <sz val="12"/>
        <color theme="1"/>
        <rFont val="Times New Roman"/>
        <family val="1"/>
      </rPr>
      <t xml:space="preserve">E-mail: </t>
    </r>
    <r>
      <rPr>
        <sz val="12"/>
        <color theme="1"/>
        <rFont val="Times New Roman"/>
        <family val="1"/>
      </rPr>
      <t>altacz@gmail.com.</t>
    </r>
  </si>
  <si>
    <r>
      <rPr>
        <b/>
        <sz val="12"/>
        <color theme="1"/>
        <rFont val="Times New Roman"/>
        <family val="1"/>
      </rPr>
      <t xml:space="preserve">  DESCRIPTION: </t>
    </r>
    <r>
      <rPr>
        <sz val="12"/>
        <color theme="1"/>
        <rFont val="Times New Roman"/>
        <family val="1"/>
      </rPr>
      <t xml:space="preserve">A module to compute the first derivative of an explicitly                      </t>
    </r>
  </si>
  <si>
    <t xml:space="preserve">      defined function using Richardson's extrapolation.                                    </t>
  </si>
  <si>
    <t xml:space="preserve">                                                                                              </t>
  </si>
  <si>
    <r>
      <rPr>
        <b/>
        <sz val="12"/>
        <color theme="1"/>
        <rFont val="Times New Roman"/>
        <family val="1"/>
      </rPr>
      <t xml:space="preserve">  ON ENTRY  </t>
    </r>
    <r>
      <rPr>
        <sz val="12"/>
        <color theme="1"/>
        <rFont val="Times New Roman"/>
        <family val="1"/>
      </rPr>
      <t xml:space="preserve">                                                                                  </t>
    </r>
  </si>
  <si>
    <t xml:space="preserve">      h   :: Initial interval size;                                                           </t>
  </si>
  <si>
    <r>
      <t xml:space="preserve">      </t>
    </r>
    <r>
      <rPr>
        <sz val="12"/>
        <color theme="1"/>
        <rFont val="Symbol"/>
        <family val="1"/>
        <charset val="2"/>
      </rPr>
      <t>e</t>
    </r>
    <r>
      <rPr>
        <sz val="12"/>
        <color theme="1"/>
        <rFont val="Times New Roman"/>
        <family val="1"/>
      </rPr>
      <t xml:space="preserve"> :: Tolerance desired.                                                               </t>
    </r>
  </si>
  <si>
    <r>
      <t xml:space="preserve">      x</t>
    </r>
    <r>
      <rPr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 xml:space="preserve">  :: Point at which derivative is to be computed;                                     </t>
    </r>
  </si>
  <si>
    <r>
      <rPr>
        <b/>
        <sz val="12"/>
        <color theme="1"/>
        <rFont val="Times New Roman"/>
        <family val="1"/>
      </rPr>
      <t xml:space="preserve">  ON EXIT    </t>
    </r>
    <r>
      <rPr>
        <sz val="12"/>
        <color theme="1"/>
        <rFont val="Times New Roman"/>
        <family val="1"/>
      </rPr>
      <t xml:space="preserve">                                                                                 </t>
    </r>
  </si>
  <si>
    <t xml:space="preserve">      D   :: A matrix containing the Richardson's table (0..n, 0..n)                        </t>
  </si>
  <si>
    <t xml:space="preserve">      nr  :: Size of the table;                                                               </t>
  </si>
  <si>
    <t xml:space="preserve">    deriv :: Estimated derivative.                                                            </t>
  </si>
  <si>
    <r>
      <rPr>
        <b/>
        <sz val="12"/>
        <color theme="1"/>
        <rFont val="Times New Roman"/>
        <family val="1"/>
      </rPr>
      <t xml:space="preserve">  USES   </t>
    </r>
    <r>
      <rPr>
        <sz val="12"/>
        <color theme="1"/>
        <rFont val="Times New Roman"/>
        <family val="1"/>
      </rPr>
      <t xml:space="preserve">                                                                            </t>
    </r>
  </si>
  <si>
    <t xml:space="preserve">      FUNC  :: User-defined external function providing the nonlinear equation.                </t>
  </si>
  <si>
    <r>
      <rPr>
        <b/>
        <sz val="12"/>
        <color theme="1"/>
        <rFont val="Times New Roman"/>
        <family val="1"/>
      </rPr>
      <t xml:space="preserve">  REVISION DATE :: </t>
    </r>
    <r>
      <rPr>
        <sz val="12"/>
        <color theme="1"/>
        <rFont val="Times New Roman"/>
        <family val="1"/>
      </rPr>
      <t xml:space="preserve">06/13/2024                                                               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</si>
</sst>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00000"/>
    <numFmt numFmtId="165" formatCode="0.00000000"/>
  </numFmts>
  <fonts count="11" x14ac:knownFonts="1">
    <font>
      <sz val="11"/>
      <color theme="1"/>
      <name val="Calibri"/>
      <family val="2"/>
      <charset val="162"/>
      <scheme val="minor"/>
    </font>
    <font>
      <sz val="12"/>
      <color theme="1"/>
      <name val="Times New Roman"/>
      <family val="1"/>
    </font>
    <font>
      <i/>
      <sz val="12"/>
      <color theme="1"/>
      <name val="Times New Roman"/>
      <family val="1"/>
    </font>
    <font>
      <b/>
      <sz val="14"/>
      <color theme="1"/>
      <name val="Times New Roman"/>
      <family val="1"/>
    </font>
    <font>
      <vertAlign val="subscript"/>
      <sz val="12"/>
      <color theme="1"/>
      <name val="Times New Roman"/>
      <family val="1"/>
    </font>
    <font>
      <sz val="14"/>
      <color theme="1"/>
      <name val="Times New Roman"/>
      <family val="1"/>
    </font>
    <font>
      <sz val="14"/>
      <color theme="1"/>
      <name val="Symbol"/>
      <family val="1"/>
      <charset val="2"/>
    </font>
    <font>
      <i/>
      <sz val="14"/>
      <color theme="1"/>
      <name val="Times New Roman"/>
      <family val="1"/>
    </font>
    <font>
      <sz val="12"/>
      <color theme="1"/>
      <name val="Symbol"/>
      <family val="1"/>
      <charset val="2"/>
    </font>
    <font>
      <b/>
      <sz val="12"/>
      <color theme="1"/>
      <name val="Times New Roman"/>
      <family val="1"/>
    </font>
    <font>
      <b/>
      <sz val="11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164" fontId="1" fillId="0" borderId="0" xfId="0" applyNumberFormat="1" applyFont="1"/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0" fontId="1" fillId="0" borderId="0" xfId="0" applyFont="1" applyAlignment="1">
      <alignment vertical="center"/>
    </xf>
    <xf numFmtId="0" fontId="3" fillId="0" borderId="0" xfId="0" applyFont="1"/>
    <xf numFmtId="165" fontId="1" fillId="0" borderId="0" xfId="0" applyNumberFormat="1" applyFont="1" applyAlignment="1">
      <alignment vertical="center"/>
    </xf>
    <xf numFmtId="164" fontId="1" fillId="0" borderId="0" xfId="0" applyNumberFormat="1" applyFont="1" applyAlignment="1">
      <alignment vertical="center"/>
    </xf>
    <xf numFmtId="1" fontId="1" fillId="0" borderId="2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164" fontId="5" fillId="0" borderId="0" xfId="0" applyNumberFormat="1" applyFont="1"/>
    <xf numFmtId="0" fontId="9" fillId="0" borderId="0" xfId="0" applyFont="1" applyAlignment="1">
      <alignment horizontal="center" wrapText="1"/>
    </xf>
    <xf numFmtId="164" fontId="9" fillId="0" borderId="0" xfId="0" applyNumberFormat="1" applyFont="1"/>
    <xf numFmtId="0" fontId="9" fillId="0" borderId="0" xfId="0" applyFont="1"/>
    <xf numFmtId="0" fontId="10" fillId="0" borderId="0" xfId="0" applyFont="1"/>
    <xf numFmtId="0" fontId="1" fillId="2" borderId="0" xfId="0" quotePrefix="1" applyFont="1" applyFill="1"/>
    <xf numFmtId="0" fontId="1" fillId="2" borderId="0" xfId="0" applyFont="1" applyFill="1"/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2"/>
  <sheetViews>
    <sheetView showGridLines="0" workbookViewId="0">
      <selection activeCell="A19" sqref="A19"/>
    </sheetView>
  </sheetViews>
  <sheetFormatPr defaultRowHeight="15.75" x14ac:dyDescent="0.25"/>
  <cols>
    <col min="1" max="1" width="97.28515625" style="2" customWidth="1"/>
  </cols>
  <sheetData>
    <row r="1" spans="1:3" x14ac:dyDescent="0.25">
      <c r="A1" s="20" t="s">
        <v>10</v>
      </c>
    </row>
    <row r="2" spans="1:3" x14ac:dyDescent="0.25">
      <c r="A2" s="21" t="s">
        <v>3</v>
      </c>
    </row>
    <row r="3" spans="1:3" x14ac:dyDescent="0.25">
      <c r="A3" s="21" t="s">
        <v>11</v>
      </c>
    </row>
    <row r="4" spans="1:3" x14ac:dyDescent="0.25">
      <c r="A4" s="21" t="s">
        <v>12</v>
      </c>
    </row>
    <row r="5" spans="1:3" x14ac:dyDescent="0.25">
      <c r="A5" s="21" t="s">
        <v>13</v>
      </c>
    </row>
    <row r="6" spans="1:3" x14ac:dyDescent="0.25">
      <c r="A6" s="21" t="s">
        <v>14</v>
      </c>
    </row>
    <row r="7" spans="1:3" x14ac:dyDescent="0.25">
      <c r="A7" s="21" t="s">
        <v>15</v>
      </c>
    </row>
    <row r="8" spans="1:3" x14ac:dyDescent="0.25">
      <c r="A8" s="21" t="s">
        <v>16</v>
      </c>
    </row>
    <row r="9" spans="1:3" x14ac:dyDescent="0.25">
      <c r="A9" s="21" t="s">
        <v>17</v>
      </c>
    </row>
    <row r="10" spans="1:3" x14ac:dyDescent="0.25">
      <c r="A10" s="21" t="s">
        <v>18</v>
      </c>
    </row>
    <row r="11" spans="1:3" x14ac:dyDescent="0.25">
      <c r="A11" s="21"/>
    </row>
    <row r="12" spans="1:3" x14ac:dyDescent="0.25">
      <c r="A12" s="21" t="s">
        <v>19</v>
      </c>
    </row>
    <row r="13" spans="1:3" x14ac:dyDescent="0.25">
      <c r="A13" s="21" t="s">
        <v>20</v>
      </c>
    </row>
    <row r="14" spans="1:3" x14ac:dyDescent="0.25">
      <c r="A14" s="21"/>
      <c r="B14" t="s">
        <v>3</v>
      </c>
      <c r="C14" t="s">
        <v>3</v>
      </c>
    </row>
    <row r="15" spans="1:3" x14ac:dyDescent="0.25">
      <c r="A15" s="21" t="s">
        <v>21</v>
      </c>
    </row>
    <row r="16" spans="1:3" x14ac:dyDescent="0.25">
      <c r="A16" s="21" t="s">
        <v>22</v>
      </c>
    </row>
    <row r="17" spans="1:1" x14ac:dyDescent="0.25">
      <c r="A17" s="21" t="s">
        <v>23</v>
      </c>
    </row>
    <row r="18" spans="1:1" x14ac:dyDescent="0.25">
      <c r="A18" s="21" t="s">
        <v>24</v>
      </c>
    </row>
    <row r="19" spans="1:1" ht="18.75" x14ac:dyDescent="0.35">
      <c r="A19" s="21" t="s">
        <v>27</v>
      </c>
    </row>
    <row r="20" spans="1:1" x14ac:dyDescent="0.25">
      <c r="A20" s="21" t="s">
        <v>25</v>
      </c>
    </row>
    <row r="21" spans="1:1" x14ac:dyDescent="0.25">
      <c r="A21" s="21" t="s">
        <v>26</v>
      </c>
    </row>
    <row r="22" spans="1:1" x14ac:dyDescent="0.25">
      <c r="A22" s="21"/>
    </row>
    <row r="23" spans="1:1" x14ac:dyDescent="0.25">
      <c r="A23" s="21" t="s">
        <v>28</v>
      </c>
    </row>
    <row r="24" spans="1:1" x14ac:dyDescent="0.25">
      <c r="A24" s="21" t="s">
        <v>29</v>
      </c>
    </row>
    <row r="25" spans="1:1" x14ac:dyDescent="0.25">
      <c r="A25" s="21" t="s">
        <v>30</v>
      </c>
    </row>
    <row r="26" spans="1:1" x14ac:dyDescent="0.25">
      <c r="A26" s="21" t="s">
        <v>31</v>
      </c>
    </row>
    <row r="27" spans="1:1" x14ac:dyDescent="0.25">
      <c r="A27" s="21" t="s">
        <v>23</v>
      </c>
    </row>
    <row r="28" spans="1:1" x14ac:dyDescent="0.25">
      <c r="A28" s="20" t="s">
        <v>32</v>
      </c>
    </row>
    <row r="29" spans="1:1" x14ac:dyDescent="0.25">
      <c r="A29" s="21" t="s">
        <v>33</v>
      </c>
    </row>
    <row r="30" spans="1:1" x14ac:dyDescent="0.25">
      <c r="A30" s="21" t="s">
        <v>23</v>
      </c>
    </row>
    <row r="31" spans="1:1" x14ac:dyDescent="0.25">
      <c r="A31" s="21" t="s">
        <v>34</v>
      </c>
    </row>
    <row r="32" spans="1:1" ht="15" x14ac:dyDescent="0.25">
      <c r="A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R25"/>
  <sheetViews>
    <sheetView showGridLines="0" tabSelected="1" workbookViewId="0">
      <selection activeCell="I10" sqref="I10"/>
    </sheetView>
  </sheetViews>
  <sheetFormatPr defaultRowHeight="15.75" x14ac:dyDescent="0.25"/>
  <cols>
    <col min="1" max="1" width="4.140625" customWidth="1"/>
    <col min="2" max="2" width="11.7109375" style="2" customWidth="1"/>
    <col min="3" max="3" width="6.28515625" style="2" customWidth="1"/>
    <col min="4" max="4" width="9.28515625" style="2" bestFit="1" customWidth="1"/>
    <col min="5" max="5" width="15.7109375" style="2" customWidth="1"/>
    <col min="6" max="6" width="15.7109375" style="3" customWidth="1"/>
    <col min="7" max="15" width="15.7109375" style="2" customWidth="1"/>
    <col min="16" max="18" width="9.140625" style="2"/>
  </cols>
  <sheetData>
    <row r="1" spans="2:18" s="19" customFormat="1" ht="15.95" customHeight="1" x14ac:dyDescent="0.25">
      <c r="B1" s="16" t="s">
        <v>9</v>
      </c>
      <c r="C1" s="16"/>
      <c r="D1" s="16"/>
      <c r="E1" s="16"/>
      <c r="F1" s="17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4" spans="2:18" ht="18.75" x14ac:dyDescent="0.3">
      <c r="E4" s="8" t="s">
        <v>2</v>
      </c>
    </row>
    <row r="5" spans="2:18" ht="19.5" thickBot="1" x14ac:dyDescent="0.35">
      <c r="F5" s="15" t="s">
        <v>8</v>
      </c>
    </row>
    <row r="6" spans="2:18" ht="19.5" thickBot="1" x14ac:dyDescent="0.3">
      <c r="C6" s="5" t="s">
        <v>5</v>
      </c>
      <c r="D6" s="22">
        <v>0</v>
      </c>
    </row>
    <row r="7" spans="2:18" ht="9" customHeight="1" thickBot="1" x14ac:dyDescent="0.3"/>
    <row r="8" spans="2:18" ht="16.5" thickBot="1" x14ac:dyDescent="0.3">
      <c r="C8" s="6" t="s">
        <v>0</v>
      </c>
      <c r="D8" s="22">
        <v>0.5</v>
      </c>
    </row>
    <row r="9" spans="2:18" ht="9" customHeight="1" thickBot="1" x14ac:dyDescent="0.3"/>
    <row r="10" spans="2:18" ht="16.5" thickBot="1" x14ac:dyDescent="0.3">
      <c r="C10" s="6" t="s">
        <v>7</v>
      </c>
      <c r="D10" s="22">
        <v>1E-3</v>
      </c>
    </row>
    <row r="11" spans="2:18" ht="9" customHeight="1" thickBot="1" x14ac:dyDescent="0.3"/>
    <row r="12" spans="2:18" ht="16.5" thickBot="1" x14ac:dyDescent="0.3">
      <c r="C12" s="6" t="s">
        <v>6</v>
      </c>
      <c r="D12" s="22">
        <v>5</v>
      </c>
    </row>
    <row r="16" spans="2:18" ht="16.5" thickBot="1" x14ac:dyDescent="0.3">
      <c r="B16" s="14" t="s">
        <v>4</v>
      </c>
      <c r="D16" s="12" t="s">
        <v>1</v>
      </c>
      <c r="E16" s="11" t="s">
        <v>3</v>
      </c>
      <c r="F16" s="11">
        <v>1</v>
      </c>
      <c r="G16" s="11">
        <v>2</v>
      </c>
      <c r="H16" s="11">
        <f>IF($D$12&gt;=4,3,"")</f>
        <v>3</v>
      </c>
      <c r="I16" s="11">
        <f>IF($D$12&gt;=5,4,"")</f>
        <v>4</v>
      </c>
      <c r="J16" s="11" t="str">
        <f>IF($D$12&gt;=6,5,"")</f>
        <v/>
      </c>
      <c r="K16" s="11" t="str">
        <f>IF($D$12&gt;=7,6,"")</f>
        <v/>
      </c>
      <c r="L16" s="11" t="str">
        <f>IF($D$12&gt;=8,7,"")</f>
        <v/>
      </c>
    </row>
    <row r="17" spans="2:18" s="1" customFormat="1" ht="21.75" customHeight="1" x14ac:dyDescent="0.25">
      <c r="B17" s="7"/>
      <c r="C17" s="7"/>
      <c r="D17" s="13">
        <v>0.5</v>
      </c>
      <c r="E17" s="10">
        <f>(func(x0+h)-func(x0-h))/(2*h)</f>
        <v>0.51082562376599072</v>
      </c>
      <c r="F17" s="10"/>
      <c r="G17" s="10"/>
      <c r="H17" s="10"/>
      <c r="I17" s="10"/>
      <c r="J17" s="10"/>
      <c r="K17" s="10"/>
      <c r="L17" s="10"/>
      <c r="M17" s="7"/>
      <c r="N17" s="7"/>
      <c r="O17" s="7"/>
      <c r="P17" s="7"/>
      <c r="Q17" s="7"/>
      <c r="R17" s="7"/>
    </row>
    <row r="18" spans="2:18" s="1" customFormat="1" ht="21.75" customHeight="1" x14ac:dyDescent="0.25">
      <c r="B18" s="7">
        <f>ABS(E17-F18)</f>
        <v>1.0929022938904687E-2</v>
      </c>
      <c r="C18" s="7"/>
      <c r="D18" s="13">
        <f>D17/2</f>
        <v>0.25</v>
      </c>
      <c r="E18" s="10">
        <f>(func(x0+D18)-func(x0-D18))/(2*D18)</f>
        <v>0.50262885656181222</v>
      </c>
      <c r="F18" s="10">
        <f>(4^$F$16*E18-E17)/(4^$F$16-1)</f>
        <v>0.49989660082708604</v>
      </c>
      <c r="G18" s="10"/>
      <c r="H18" s="10"/>
      <c r="I18" s="10"/>
      <c r="J18" s="10"/>
      <c r="K18" s="10"/>
      <c r="L18" s="10"/>
      <c r="M18" s="7"/>
      <c r="N18" s="7"/>
      <c r="O18" s="7"/>
      <c r="P18" s="7"/>
      <c r="Q18" s="7"/>
      <c r="R18" s="7"/>
    </row>
    <row r="19" spans="2:18" s="1" customFormat="1" ht="21.75" customHeight="1" x14ac:dyDescent="0.25">
      <c r="B19" s="7">
        <f>ABS(G19-F18)</f>
        <v>1.0369003414295586E-4</v>
      </c>
      <c r="C19" s="7"/>
      <c r="D19" s="13">
        <f>D18/2</f>
        <v>0.125</v>
      </c>
      <c r="E19" s="10">
        <f>(func(x0+D19)-func(x0-D19))/(2*D19)</f>
        <v>0.50065257181602441</v>
      </c>
      <c r="F19" s="10">
        <f>(4^$F$16*E19-E18)/(4^$F$16-1)</f>
        <v>0.49999381023409512</v>
      </c>
      <c r="G19" s="10">
        <f>(4^$G$16*F19-F18)/(4^$G$16-1)</f>
        <v>0.50000029086122899</v>
      </c>
      <c r="H19" s="10"/>
      <c r="I19" s="10"/>
      <c r="J19" s="10"/>
      <c r="K19" s="10"/>
      <c r="L19" s="10"/>
      <c r="M19" s="7"/>
      <c r="N19" s="7"/>
      <c r="O19" s="7"/>
      <c r="P19" s="7"/>
      <c r="Q19" s="7"/>
      <c r="R19" s="7"/>
    </row>
    <row r="20" spans="2:18" s="1" customFormat="1" ht="21.75" customHeight="1" x14ac:dyDescent="0.25">
      <c r="B20" s="7">
        <f>IF($D$12&gt;=4,ABS(G19-H20),"")</f>
        <v>2.9108308413627881E-7</v>
      </c>
      <c r="C20" s="7"/>
      <c r="D20" s="13">
        <f>IF($D$12&gt;=4,D19/2,"")</f>
        <v>6.25E-2</v>
      </c>
      <c r="E20" s="10">
        <f>IF($D$12&gt;=4,(func(x0+D20)-func(x0-D20))/(2*D20),"")</f>
        <v>0.50016285585067166</v>
      </c>
      <c r="F20" s="10">
        <f>IF($D$12&gt;=4,(4^$F$16*E20-E19)/(4^$F$16-1),"")</f>
        <v>0.49999961719555408</v>
      </c>
      <c r="G20" s="10">
        <f>IF($D$12&gt;=4,(4^$G$16*F20-F19)/(4^$G$16-1),"")</f>
        <v>0.50000000432631808</v>
      </c>
      <c r="H20" s="10">
        <f>IF($D$12&gt;=4,(4^$H$16*G20-G19)/(4^$H$16-1),"")</f>
        <v>0.49999999977814485</v>
      </c>
      <c r="I20" s="10"/>
      <c r="J20" s="10"/>
      <c r="K20" s="10"/>
      <c r="L20" s="10"/>
      <c r="M20" s="7"/>
      <c r="N20" s="7"/>
      <c r="O20" s="7"/>
      <c r="P20" s="7"/>
      <c r="Q20" s="7"/>
      <c r="R20" s="7"/>
    </row>
    <row r="21" spans="2:18" s="1" customFormat="1" ht="21.75" customHeight="1" x14ac:dyDescent="0.25">
      <c r="B21" s="7">
        <f>IF($D$12&gt;=5,ABS(G20-H21),"")</f>
        <v>4.327139702109406E-9</v>
      </c>
      <c r="C21" s="7"/>
      <c r="D21" s="13">
        <f>IF($D$12&gt;=5,D20/2,"")</f>
        <v>3.125E-2</v>
      </c>
      <c r="E21" s="10">
        <f>IF($D$12&gt;=5,(func(x0+D21)-func(x0-D21))/(2*D21),"")</f>
        <v>0.50004069606567114</v>
      </c>
      <c r="F21" s="10">
        <f>IF($D$12&gt;=5,(4^$F$16*E21-E20)/(4^$F$16-1),"")</f>
        <v>0.49999997613733765</v>
      </c>
      <c r="G21" s="10">
        <f>IF($D$12&gt;=5,(4^$G$16*F21-F20)/(4^$G$16-1),"")</f>
        <v>0.50000000006678991</v>
      </c>
      <c r="H21" s="10">
        <f>IF($D$12&gt;=5,(4^$H$16*G21-G20)/(4^$H$16-1),"")</f>
        <v>0.49999999999917838</v>
      </c>
      <c r="I21" s="10">
        <f>IF($D$12&gt;=5,(4^$I$16*H21-H20)/(4^$I$16-1),"")</f>
        <v>0.50000000000004519</v>
      </c>
      <c r="J21" s="10"/>
      <c r="K21" s="10"/>
      <c r="L21" s="10"/>
      <c r="M21" s="7"/>
      <c r="N21" s="7"/>
      <c r="O21" s="7"/>
      <c r="P21" s="7"/>
      <c r="Q21" s="7"/>
      <c r="R21" s="7"/>
    </row>
    <row r="22" spans="2:18" s="1" customFormat="1" ht="21.75" customHeight="1" x14ac:dyDescent="0.25">
      <c r="B22" s="7" t="str">
        <f>IF($D$12&gt;=6,ABS(I22-H21),"")</f>
        <v/>
      </c>
      <c r="C22" s="7"/>
      <c r="D22" s="13" t="str">
        <f>IF($D$12&gt;=6,D21/2,"")</f>
        <v/>
      </c>
      <c r="E22" s="10" t="str">
        <f>IF($D$12&gt;=6,(func(x0+D22)-func(x0-D22))/(2*D22),"")</f>
        <v/>
      </c>
      <c r="F22" s="10" t="str">
        <f>IF($D$12&gt;=6,(4^$F$16*E22-E21)/(4^$F$16-1),"")</f>
        <v/>
      </c>
      <c r="G22" s="10" t="str">
        <f>IF($D$12&gt;=6,(4^$G$16*F22-F21)/(4^$G$16-1),"")</f>
        <v/>
      </c>
      <c r="H22" s="10" t="str">
        <f>IF($D$12&gt;=6,(4^$H$16*G22-G21)/(4^$H$16-1),"")</f>
        <v/>
      </c>
      <c r="I22" s="10" t="str">
        <f>IF($D$12&gt;=6,(4^$I$16*H22-H21)/(4^$I$16-1),"")</f>
        <v/>
      </c>
      <c r="J22" s="10" t="str">
        <f>IF($D$12&gt;=6,(4^$J$16*I22-I21)/(4^$J$16-1),"")</f>
        <v/>
      </c>
      <c r="K22" s="10"/>
      <c r="L22" s="10"/>
      <c r="M22" s="7"/>
      <c r="N22" s="7"/>
      <c r="O22" s="7"/>
      <c r="P22" s="7"/>
      <c r="Q22" s="7"/>
      <c r="R22" s="7"/>
    </row>
    <row r="23" spans="2:18" s="1" customFormat="1" ht="21.75" customHeight="1" x14ac:dyDescent="0.25">
      <c r="B23" s="7" t="str">
        <f>IF($D$12&gt;=7,ABS(I23-H22),"")</f>
        <v/>
      </c>
      <c r="C23" s="7"/>
      <c r="D23" s="13" t="str">
        <f>IF($D$12&gt;=7,D22/2,"")</f>
        <v/>
      </c>
      <c r="E23" s="10" t="str">
        <f>IF($D$12&gt;=7,(func(x0+D23)-func(x0-D23))/(2*D23),"")</f>
        <v/>
      </c>
      <c r="F23" s="10" t="str">
        <f>IF($D$12&gt;=7,(4^$F$16*E23-E22)/(4^$F$16-1),"")</f>
        <v/>
      </c>
      <c r="G23" s="10" t="str">
        <f>IF($D$12&gt;=7,(4^$G$16*F23-F22)/(4^$G$16-1),"")</f>
        <v/>
      </c>
      <c r="H23" s="10" t="str">
        <f>IF($D$12&gt;=7,(4^$H$16*G23-G22)/(4^$H$16-1),"")</f>
        <v/>
      </c>
      <c r="I23" s="10" t="str">
        <f>IF($D$12&gt;=7,(4^$I$16*H23-H22)/(4^$I$16-1),"")</f>
        <v/>
      </c>
      <c r="J23" s="10" t="str">
        <f>IF($D$12&gt;=7,(4^$J$16*I23-I22)/(4^$J$16-1),"")</f>
        <v/>
      </c>
      <c r="K23" s="10" t="str">
        <f>IF($D$12&gt;=7,(4^$K$16*J23-J22)/(4^$K$16-1),"")</f>
        <v/>
      </c>
      <c r="L23" s="10"/>
      <c r="M23" s="7"/>
      <c r="N23" s="7"/>
      <c r="O23" s="7"/>
      <c r="P23" s="7"/>
      <c r="Q23" s="7"/>
      <c r="R23" s="7"/>
    </row>
    <row r="24" spans="2:18" s="1" customFormat="1" ht="21.75" customHeight="1" x14ac:dyDescent="0.25">
      <c r="B24" s="7" t="str">
        <f>IF($D$12&gt;=8,ABS(I24-H23),"")</f>
        <v/>
      </c>
      <c r="C24" s="7"/>
      <c r="D24" s="13" t="str">
        <f>IF($D$12&gt;=8,D23/2,"")</f>
        <v/>
      </c>
      <c r="E24" s="10" t="str">
        <f>IF($D$12&gt;=8,(func(x0+D24)-func(x0-D24))/(2*D24),"")</f>
        <v/>
      </c>
      <c r="F24" s="10" t="str">
        <f>IF($D$12&gt;=8,(4^$F$16*E24-E23)/(4^$F$16-1),"")</f>
        <v/>
      </c>
      <c r="G24" s="10" t="str">
        <f>IF($D$12&gt;=8,(4^$G$16*F24-F23)/(4^$G$16-1),"")</f>
        <v/>
      </c>
      <c r="H24" s="10" t="str">
        <f>IF($D$12&gt;=8,(4^$H$16*G24-G23)/(4^$H$16-1),"")</f>
        <v/>
      </c>
      <c r="I24" s="10" t="str">
        <f>IF($D$12&gt;=8,(4^$I$16*H24-H23)/(4^$I$16-1),"")</f>
        <v/>
      </c>
      <c r="J24" s="10" t="str">
        <f>IF($D$12&gt;=8,(4^$J$16*I24-I23)/(4^$J$16-1),"")</f>
        <v/>
      </c>
      <c r="K24" s="10" t="str">
        <f>IF($D$12&gt;=8,(4^$K$16*J24-J23)/(4^$K$16-1),"")</f>
        <v/>
      </c>
      <c r="L24" s="10" t="str">
        <f>IF($D$12&gt;=8,(4^$L$16*K24-K23)/(4^$L$16-1),"")</f>
        <v/>
      </c>
      <c r="M24" s="7"/>
      <c r="N24" s="7"/>
      <c r="O24" s="7"/>
      <c r="P24" s="7"/>
      <c r="Q24" s="7"/>
      <c r="R24" s="7"/>
    </row>
    <row r="25" spans="2:18" s="1" customFormat="1" ht="21.75" customHeight="1" x14ac:dyDescent="0.25">
      <c r="B25" s="7"/>
      <c r="C25" s="7"/>
      <c r="D25" s="4"/>
      <c r="E25" s="9"/>
      <c r="F25" s="10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</sheetData>
  <mergeCells count="1">
    <mergeCell ref="B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Infos</vt:lpstr>
      <vt:lpstr>RichardsonExt</vt:lpstr>
      <vt:lpstr>eps</vt:lpstr>
      <vt:lpstr>h</vt:lpstr>
      <vt:lpstr>x0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zaltac-pc</dc:creator>
  <cp:lastModifiedBy>Zaltac_PC</cp:lastModifiedBy>
  <dcterms:created xsi:type="dcterms:W3CDTF">2020-10-16T04:15:45Z</dcterms:created>
  <dcterms:modified xsi:type="dcterms:W3CDTF">2024-11-29T06:38:18Z</dcterms:modified>
</cp:coreProperties>
</file>